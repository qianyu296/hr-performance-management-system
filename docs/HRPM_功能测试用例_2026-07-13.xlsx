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执行说明" sheetId="1" r:id="rId1"/>
    <sheet name="功能测试用例" sheetId="2" r:id="rId4"/>
    <sheet name="测试数据与角色" sheetId="3" r:id="rId5"/>
    <sheet name="执行汇总" sheetId="4" r:id="rId6"/>
  </sheets>
  <calcPr calcId="191029" fullCalcOnLoad="1" forceFullCalc="1"/>
</workbook>
</file>

<file path=xl/sharedStrings.xml><?xml version="1.0" encoding="utf-8"?>
<sst xmlns="http://schemas.openxmlformats.org/spreadsheetml/2006/main" count="626" uniqueCount="626">
  <si>
    <t xml:space="preserve">HRPM 功能测试执行说明</t>
  </si>
  <si>
    <t xml:space="preserve">生成日期：2026-07-13</t>
  </si>
  <si>
    <t xml:space="preserve">项目现状</t>
  </si>
  <si>
    <t xml:space="preserve">前端 http://localhost:5173 返回 200；后端 http://localhost:8080/api/v1/health 返回 UP；MySQL 3306 正在监听。</t>
  </si>
  <si>
    <t xml:space="preserve">开发进度</t>
  </si>
  <si>
    <t xml:space="preserve">认证、组织员工、工作日历、请假、加班、余额、审批模板/任务、系统访问控制已有前后端实现；绩效、目标、报表、文件接口仍以契约/占位为主。</t>
  </si>
  <si>
    <t xml:space="preserve">本轮变更</t>
  </si>
  <si>
    <t xml:space="preserve">月度假勤汇总正在接入：V011 新增 rpt_attendance_month，后端列表/重建接口、前端汇总页、路由和 OpenAPI 均存在未提交变更。</t>
  </si>
  <si>
    <t xml:space="preserve">自动化基线</t>
  </si>
  <si>
    <t xml:space="preserve">现有 Surefire 报告：65 项通过，0 失败，0 错误，1 项 Testcontainers 迁移测试跳过；月度汇总尚无专属自动化测试。</t>
  </si>
  <si>
    <t xml:space="preserve">执行方式</t>
  </si>
  <si>
    <t xml:space="preserve">逐条执行“功能测试用例”；将实测结果、状态、缺陷编号、执行人、执行日期填入对应列。状态建议：通过、失败、阻塞、不适用。</t>
  </si>
  <si>
    <t xml:space="preserve">质量门禁</t>
  </si>
  <si>
    <t xml:space="preserve">P0 用例全部通过；无阻断/严重缺陷；权限、并发、数据口径、接口契约及 V011 迁移回归通过后，方可验收。</t>
  </si>
  <si>
    <t xml:space="preserve">说明</t>
  </si>
  <si>
    <t xml:space="preserve">“REQ”编号用于测试追溯；对当前尚未落地的契约性能力，仅作为后续功能完成后的验收入口，不应误判为已实现。</t>
  </si>
  <si>
    <t xml:space="preserve">HRPM 功能测试用例</t>
  </si>
  <si>
    <t xml:space="preserve">版本：2026-07-13；范围：当前已实现功能 + 月度假勤汇总接入回归</t>
  </si>
  <si>
    <t xml:space="preserve">用例编号</t>
  </si>
  <si>
    <t xml:space="preserve">功能模块</t>
  </si>
  <si>
    <t xml:space="preserve">需求 / OpenAPI 操作</t>
  </si>
  <si>
    <t xml:space="preserve">优先级</t>
  </si>
  <si>
    <t xml:space="preserve">用例类型</t>
  </si>
  <si>
    <t xml:space="preserve">前置条件</t>
  </si>
  <si>
    <t xml:space="preserve">测试步骤</t>
  </si>
  <si>
    <t xml:space="preserve">测试数据</t>
  </si>
  <si>
    <t xml:space="preserve">预期结果</t>
  </si>
  <si>
    <t xml:space="preserve">实测结果</t>
  </si>
  <si>
    <t xml:space="preserve">执行状态</t>
  </si>
  <si>
    <t xml:space="preserve">缺陷编号</t>
  </si>
  <si>
    <t xml:space="preserve">执行人</t>
  </si>
  <si>
    <t xml:space="preserve">执行日期</t>
  </si>
  <si>
    <t xml:space="preserve">TC-AUTH-001</t>
  </si>
  <si>
    <t xml:space="preserve">认证与会话</t>
  </si>
  <si>
    <t xml:space="preserve">REQ-AUTH-001; authLogin</t>
  </si>
  <si>
    <t xml:space="preserve">P0</t>
  </si>
  <si>
    <t xml:space="preserve">正向</t>
  </si>
  <si>
    <t xml:space="preserve">存在状态为 ACTIVE 的管理员账号</t>
  </si>
  <si>
    <t xml:space="preserve">1. 打开登录页 2. 输入正确账号和密码 3. 提交</t>
  </si>
  <si>
    <t xml:space="preserve">管理员账号 / 正确密码</t>
  </si>
  <si>
    <t xml:space="preserve">登录成功，保存访问令牌和刷新令牌，跳转工作台</t>
  </si>
  <si>
    <t xml:space="preserve"> </t>
  </si>
  <si>
    <t xml:space="preserve">待执行</t>
  </si>
  <si>
    <t xml:space="preserve"/>
  </si>
  <si>
    <t xml:space="preserve">TC-AUTH-002</t>
  </si>
  <si>
    <t xml:space="preserve">异常</t>
  </si>
  <si>
    <t xml:space="preserve">在登录页</t>
  </si>
  <si>
    <t xml:space="preserve">1. 输入正确账号 2. 输入错误密码 3. 提交</t>
  </si>
  <si>
    <t xml:space="preserve">管理员账号 / 错误密码</t>
  </si>
  <si>
    <t xml:space="preserve">拒绝登录，不泄露账户是否存在，不生成令牌</t>
  </si>
  <si>
    <t xml:space="preserve">TC-AUTH-003</t>
  </si>
  <si>
    <t xml:space="preserve">存在状态为 INACTIVE 的用户</t>
  </si>
  <si>
    <t xml:space="preserve">1. 使用禁用账号登录</t>
  </si>
  <si>
    <t xml:space="preserve">禁用账号 / 正确密码</t>
  </si>
  <si>
    <t xml:space="preserve">拒绝登录并提示账号不可用，不生成令牌</t>
  </si>
  <si>
    <t xml:space="preserve">TC-AUTH-004</t>
  </si>
  <si>
    <t xml:space="preserve">REQ-AUTH-002; authRefresh</t>
  </si>
  <si>
    <t xml:space="preserve">已获得有效刷新令牌</t>
  </si>
  <si>
    <t xml:space="preserve">1. 调用刷新接口 2. 使用新访问令牌调用 /me</t>
  </si>
  <si>
    <t xml:space="preserve">有效 refreshToken</t>
  </si>
  <si>
    <t xml:space="preserve">返回新的可用会话令牌，/me 返回当前用户</t>
  </si>
  <si>
    <t xml:space="preserve">TC-AUTH-005</t>
  </si>
  <si>
    <t xml:space="preserve">无有效刷新令牌</t>
  </si>
  <si>
    <t xml:space="preserve">1. 提交篡改或过期 refreshToken</t>
  </si>
  <si>
    <t xml:space="preserve">无效 refreshToken</t>
  </si>
  <si>
    <t xml:space="preserve">返回鉴权失败；不签发新令牌</t>
  </si>
  <si>
    <t xml:space="preserve">TC-AUTH-006</t>
  </si>
  <si>
    <t xml:space="preserve">REQ-AUTH-003; authLogout</t>
  </si>
  <si>
    <t xml:space="preserve">安全</t>
  </si>
  <si>
    <t xml:space="preserve">已登录</t>
  </si>
  <si>
    <t xml:space="preserve">1. 调用登出 2. 使用原访问令牌请求 /me 3. 使用原刷新令牌刷新</t>
  </si>
  <si>
    <t xml:space="preserve">有效会话令牌</t>
  </si>
  <si>
    <t xml:space="preserve">会话失效，后续请求均被拒绝</t>
  </si>
  <si>
    <t xml:space="preserve">TC-AUTH-007</t>
  </si>
  <si>
    <t xml:space="preserve">REQ-AUTH-004; getCurrentUser</t>
  </si>
  <si>
    <t xml:space="preserve">未登录</t>
  </si>
  <si>
    <t xml:space="preserve">1. 直接访问 /me</t>
  </si>
  <si>
    <t xml:space="preserve">无 Authorization</t>
  </si>
  <si>
    <t xml:space="preserve">返回 401/鉴权错误；不返回用户数据</t>
  </si>
  <si>
    <t xml:space="preserve">TC-AUTH-008</t>
  </si>
  <si>
    <t xml:space="preserve">REQ-AUTH-005; getCurrentUserPermissions; getCurrentUserMenus</t>
  </si>
  <si>
    <t xml:space="preserve">P1</t>
  </si>
  <si>
    <t xml:space="preserve">已登录不同权限账号</t>
  </si>
  <si>
    <t xml:space="preserve">1. 分别调用权限和菜单接口 2. 比较前端侧栏</t>
  </si>
  <si>
    <t xml:space="preserve">员工、主管、HR、管理员账号</t>
  </si>
  <si>
    <t xml:space="preserve">接口权限集合与可见菜单一致；无权限菜单不显示</t>
  </si>
  <si>
    <t xml:space="preserve">TC-PERM-001</t>
  </si>
  <si>
    <t xml:space="preserve">权限与数据范围</t>
  </si>
  <si>
    <t xml:space="preserve">REQ-PERM-001; listEmployees</t>
  </si>
  <si>
    <t xml:space="preserve">越权</t>
  </si>
  <si>
    <t xml:space="preserve">普通员工已登录且存在其他部门员工</t>
  </si>
  <si>
    <t xml:space="preserve">1. 查询员工列表 2. 尝试按其他部门筛选</t>
  </si>
  <si>
    <t xml:space="preserve">普通员工 / 外部门 departmentId</t>
  </si>
  <si>
    <t xml:space="preserve">仅返回授权数据范围内员工；不得泄露外部门员工</t>
  </si>
  <si>
    <t xml:space="preserve">TC-PERM-002</t>
  </si>
  <si>
    <t xml:space="preserve">REQ-PERM-002; getEmployee</t>
  </si>
  <si>
    <t xml:space="preserve">普通员工已登录</t>
  </si>
  <si>
    <t xml:space="preserve">1. 直接访问其他部门员工 ID</t>
  </si>
  <si>
    <t xml:space="preserve">外部门 employeeId</t>
  </si>
  <si>
    <t xml:space="preserve">返回 403 或无权资源，不返回档案字段</t>
  </si>
  <si>
    <t xml:space="preserve">TC-PERM-003</t>
  </si>
  <si>
    <t xml:space="preserve">REQ-PERM-003; adjustLeaveBalance</t>
  </si>
  <si>
    <t xml:space="preserve">无 attendance:manage 账号已登录</t>
  </si>
  <si>
    <t xml:space="preserve">1. 提交余额调整请求</t>
  </si>
  <si>
    <t xml:space="preserve">有效 balanceId / 8 小时 / version</t>
  </si>
  <si>
    <t xml:space="preserve">返回 403，余额与流水均不变化</t>
  </si>
  <si>
    <t xml:space="preserve">TC-PERM-004</t>
  </si>
  <si>
    <t xml:space="preserve">REQ-PERM-004; rebuildAttendanceMonthlySummaries</t>
  </si>
  <si>
    <t xml:space="preserve">1. 调用月度汇总重建</t>
  </si>
  <si>
    <t xml:space="preserve">month=2026-07</t>
  </si>
  <si>
    <t xml:space="preserve">返回 403，不产生或修改快照</t>
  </si>
  <si>
    <t xml:space="preserve">TC-PERM-005</t>
  </si>
  <si>
    <t xml:space="preserve">REQ-PERM-005; replaceUserRoles</t>
  </si>
  <si>
    <t xml:space="preserve">非 system:manage 账号已登录</t>
  </si>
  <si>
    <t xml:space="preserve">1. 替换任意用户角色</t>
  </si>
  <si>
    <t xml:space="preserve">目标用户 / roleIds / version</t>
  </si>
  <si>
    <t xml:space="preserve">返回 403，角色关系不变</t>
  </si>
  <si>
    <t xml:space="preserve">TC-PERM-006</t>
  </si>
  <si>
    <t xml:space="preserve">REQ-PERM-006; listWorkflowTasks</t>
  </si>
  <si>
    <t xml:space="preserve">无 workflow:approve 权限账号</t>
  </si>
  <si>
    <t xml:space="preserve">1. 查询审批任务 2. 尝试执行 approve</t>
  </si>
  <si>
    <t xml:space="preserve">taskId / version</t>
  </si>
  <si>
    <t xml:space="preserve">不可读取不属于自己的待办，也不可审批</t>
  </si>
  <si>
    <t xml:space="preserve">TC-PERM-007</t>
  </si>
  <si>
    <t xml:space="preserve">REQ-PERM-007; getDownloadUrl</t>
  </si>
  <si>
    <t xml:space="preserve">已登录无附件访问权限账号</t>
  </si>
  <si>
    <t xml:space="preserve">1. 请求其他员工附件下载地址</t>
  </si>
  <si>
    <t xml:space="preserve">其他员工 fileId</t>
  </si>
  <si>
    <t xml:space="preserve">拒绝访问；不得返回可下载 URL</t>
  </si>
  <si>
    <t xml:space="preserve">TC-PERM-008</t>
  </si>
  <si>
    <t xml:space="preserve">REQ-PERM-008</t>
  </si>
  <si>
    <t xml:space="preserve">回归</t>
  </si>
  <si>
    <t xml:space="preserve">管理员已登录且已被回收某角色</t>
  </si>
  <si>
    <t xml:space="preserve">1. 修改角色 2. 刷新会话 3. 检查菜单和接口</t>
  </si>
  <si>
    <t xml:space="preserve">已回收的 attendance:manage</t>
  </si>
  <si>
    <t xml:space="preserve">菜单、按钮和接口权限立即失效</t>
  </si>
  <si>
    <t xml:space="preserve">TC-ORG-001</t>
  </si>
  <si>
    <t xml:space="preserve">组织与人事</t>
  </si>
  <si>
    <t xml:space="preserve">REQ-ORG-001; listDepartmentTree</t>
  </si>
  <si>
    <t xml:space="preserve">管理员已登录且存在多层部门</t>
  </si>
  <si>
    <t xml:space="preserve">1. 打开组织结构页 2. 查询部门树</t>
  </si>
  <si>
    <t xml:space="preserve">根部门及两级子部门</t>
  </si>
  <si>
    <t xml:space="preserve">按层级正确展示部门、负责人和状态</t>
  </si>
  <si>
    <t xml:space="preserve">TC-ORG-002</t>
  </si>
  <si>
    <t xml:space="preserve">REQ-ORG-002; createResource(departments)</t>
  </si>
  <si>
    <t xml:space="preserve">边界</t>
  </si>
  <si>
    <t xml:space="preserve">管理员已登录</t>
  </si>
  <si>
    <t xml:space="preserve">1. 创建根部门 2. 创建子部门</t>
  </si>
  <si>
    <t xml:space="preserve">合法名称 / parentId</t>
  </si>
  <si>
    <t xml:space="preserve">创建成功，子部门正确归属父部门</t>
  </si>
  <si>
    <t xml:space="preserve">TC-ORG-003</t>
  </si>
  <si>
    <t xml:space="preserve">REQ-ORG-003; createResource(departments)</t>
  </si>
  <si>
    <t xml:space="preserve">存在 A -&gt; B 部门关系</t>
  </si>
  <si>
    <t xml:space="preserve">1. 将 A 的父级设为 B 或提交循环关系</t>
  </si>
  <si>
    <t xml:space="preserve">A、B 部门 ID</t>
  </si>
  <si>
    <t xml:space="preserve">拒绝形成循环，原组织树不变</t>
  </si>
  <si>
    <t xml:space="preserve">TC-ORG-004</t>
  </si>
  <si>
    <t xml:space="preserve">REQ-ORG-004; createPosition; updatePosition</t>
  </si>
  <si>
    <t xml:space="preserve">1. 新建岗位 2. 编辑名称和状态 3. 刷新列表</t>
  </si>
  <si>
    <t xml:space="preserve">岗位编码、名称、版本</t>
  </si>
  <si>
    <t xml:space="preserve">数据持久化，列表及员工表单均可选择有效岗位</t>
  </si>
  <si>
    <t xml:space="preserve">TC-ORG-005</t>
  </si>
  <si>
    <t xml:space="preserve">REQ-ORG-005; createRank; updateRank</t>
  </si>
  <si>
    <t xml:space="preserve">1. 新建职级 2. 编辑显示顺序 3. 刷新</t>
  </si>
  <si>
    <t xml:space="preserve">职级编码、名称、版本</t>
  </si>
  <si>
    <t xml:space="preserve">职级保存成功，排序与引用正常</t>
  </si>
  <si>
    <t xml:space="preserve">TC-ORG-006</t>
  </si>
  <si>
    <t xml:space="preserve">REQ-ORG-006; createEmployee</t>
  </si>
  <si>
    <t xml:space="preserve">已存在有效部门、岗位、职级</t>
  </si>
  <si>
    <t xml:space="preserve">1. 打开员工档案 2. 填写必填项 3. 保存</t>
  </si>
  <si>
    <t xml:space="preserve">唯一工号、姓名、部门、岗位、入职日期</t>
  </si>
  <si>
    <t xml:space="preserve">员工创建成功，列表显示正确任职信息</t>
  </si>
  <si>
    <t xml:space="preserve">TC-ORG-007</t>
  </si>
  <si>
    <t xml:space="preserve">REQ-ORG-007; createEmployee</t>
  </si>
  <si>
    <t xml:space="preserve">已存在工号 EMP-TEST-001</t>
  </si>
  <si>
    <t xml:space="preserve">1. 使用相同工号创建第二名员工</t>
  </si>
  <si>
    <t xml:space="preserve">重复 employeeNo</t>
  </si>
  <si>
    <t xml:space="preserve">返回明确重复错误；不创建重复档案</t>
  </si>
  <si>
    <t xml:space="preserve">TC-ORG-008</t>
  </si>
  <si>
    <t xml:space="preserve">REQ-ORG-008; updateEmployee</t>
  </si>
  <si>
    <t xml:space="preserve">并发</t>
  </si>
  <si>
    <t xml:space="preserve">同一员工被两个管理员打开编辑</t>
  </si>
  <si>
    <t xml:space="preserve">1. 管理员 A 保存 2. 管理员 B 用旧 version 保存</t>
  </si>
  <si>
    <t xml:space="preserve">同一 employeeId / 旧 version</t>
  </si>
  <si>
    <t xml:space="preserve">第二次保存返回 409 冲突，A 的修改保留</t>
  </si>
  <si>
    <t xml:space="preserve">TC-CAL-001</t>
  </si>
  <si>
    <t xml:space="preserve">工作日历</t>
  </si>
  <si>
    <t xml:space="preserve">REQ-CAL-001; createWorkCalendar</t>
  </si>
  <si>
    <t xml:space="preserve">attendance:manage 账号已登录</t>
  </si>
  <si>
    <t xml:space="preserve">1. 新建年度日历 2. 设置时区、工作日、节假日 3. 保存</t>
  </si>
  <si>
    <t xml:space="preserve">2026 / Asia/Shanghai / 节假日</t>
  </si>
  <si>
    <t xml:space="preserve">创建成功，按年份查询返回完整日期配置</t>
  </si>
  <si>
    <t xml:space="preserve">TC-CAL-002</t>
  </si>
  <si>
    <t xml:space="preserve">REQ-CAL-002; getWorkCalendarByYear</t>
  </si>
  <si>
    <t xml:space="preserve">无对应年度日历</t>
  </si>
  <si>
    <t xml:space="preserve">1. 查询不存在的年度</t>
  </si>
  <si>
    <t xml:space="preserve">calendarYear=2099</t>
  </si>
  <si>
    <t xml:space="preserve">返回空或明确不存在结果，不返回其他年度数据</t>
  </si>
  <si>
    <t xml:space="preserve">TC-CAL-003</t>
  </si>
  <si>
    <t xml:space="preserve">REQ-CAL-003; updateWorkCalendar</t>
  </si>
  <si>
    <t xml:space="preserve">两个管理员同时编辑同一日历</t>
  </si>
  <si>
    <t xml:space="preserve">1. A 保存 2. B 用旧 version 保存</t>
  </si>
  <si>
    <t xml:space="preserve">相同 calendarId / 旧 version</t>
  </si>
  <si>
    <t xml:space="preserve">B 返回 409；不覆盖 A 的日期配置</t>
  </si>
  <si>
    <t xml:space="preserve">TC-CAL-004</t>
  </si>
  <si>
    <t xml:space="preserve">REQ-CAL-004</t>
  </si>
  <si>
    <t xml:space="preserve">规则</t>
  </si>
  <si>
    <t xml:space="preserve">存在周末、法定节假日和调休工作日</t>
  </si>
  <si>
    <t xml:space="preserve">1. 创建覆盖三种日期的请假 2. 提交</t>
  </si>
  <si>
    <t xml:space="preserve">周末 / 假日 / 调休日区间</t>
  </si>
  <si>
    <t xml:space="preserve">请假时长按工作日历准确计算</t>
  </si>
  <si>
    <t xml:space="preserve">TC-CAL-005</t>
  </si>
  <si>
    <t xml:space="preserve">REQ-CAL-005; createWorkCalendar</t>
  </si>
  <si>
    <t xml:space="preserve">校验</t>
  </si>
  <si>
    <t xml:space="preserve">1. 提交非法年份或重复日期</t>
  </si>
  <si>
    <t xml:space="preserve">年份 1999 / 重复 date</t>
  </si>
  <si>
    <t xml:space="preserve">参数校验失败，数据不落库</t>
  </si>
  <si>
    <t xml:space="preserve">TC-LEAVE-001</t>
  </si>
  <si>
    <t xml:space="preserve">请假管理</t>
  </si>
  <si>
    <t xml:space="preserve">REQ-LEAVE-001; createResource(leave-requests)</t>
  </si>
  <si>
    <t xml:space="preserve">员工有充足年假余额且存在有效请假模板</t>
  </si>
  <si>
    <t xml:space="preserve">1. 创建草稿 2. 填写请假类型、时间、原因</t>
  </si>
  <si>
    <t xml:space="preserve">工作日 8 小时 / 年假</t>
  </si>
  <si>
    <t xml:space="preserve">草稿保存，时长准确计算，状态为 DRAFT</t>
  </si>
  <si>
    <t xml:space="preserve">TC-LEAVE-002</t>
  </si>
  <si>
    <t xml:space="preserve">REQ-LEAVE-002; submitLeaveRequest</t>
  </si>
  <si>
    <t xml:space="preserve">存在可提交请假草稿</t>
  </si>
  <si>
    <t xml:space="preserve">1. 提交申请 2. 查看我的申请和待办</t>
  </si>
  <si>
    <t xml:space="preserve">草稿 id / version</t>
  </si>
  <si>
    <t xml:space="preserve">状态变为 IN_PROGRESS，生成对应审批实例与当前待办</t>
  </si>
  <si>
    <t xml:space="preserve">TC-LEAVE-003</t>
  </si>
  <si>
    <t xml:space="preserve">REQ-LEAVE-003; createResource(leave-requests)</t>
  </si>
  <si>
    <t xml:space="preserve">员工已有已提交或已通过请假</t>
  </si>
  <si>
    <t xml:space="preserve">1. 创建与既有区间重叠的申请</t>
  </si>
  <si>
    <t xml:space="preserve">重叠时间段</t>
  </si>
  <si>
    <t xml:space="preserve">系统拒绝重叠申请，不新增有效业务单</t>
  </si>
  <si>
    <t xml:space="preserve">TC-LEAVE-004</t>
  </si>
  <si>
    <t xml:space="preserve">REQ-LEAVE-004; submitLeaveRequest</t>
  </si>
  <si>
    <t xml:space="preserve">员工余额小于申请时长</t>
  </si>
  <si>
    <t xml:space="preserve">1. 创建超余额草稿 2. 提交</t>
  </si>
  <si>
    <t xml:space="preserve">余额 4 小时 / 申请 8 小时</t>
  </si>
  <si>
    <t xml:space="preserve">提交被拒绝，余额与流水不变化</t>
  </si>
  <si>
    <t xml:space="preserve">TC-LEAVE-005</t>
  </si>
  <si>
    <t xml:space="preserve">REQ-LEAVE-005; submitLeaveRequest</t>
  </si>
  <si>
    <t xml:space="preserve">目标员工为离职状态</t>
  </si>
  <si>
    <t xml:space="preserve">1. 以离职员工会话创建并提交请假</t>
  </si>
  <si>
    <t xml:space="preserve">离职员工 / 任意工作日</t>
  </si>
  <si>
    <t xml:space="preserve">系统拒绝提交，不启动审批</t>
  </si>
  <si>
    <t xml:space="preserve">TC-LEAVE-006</t>
  </si>
  <si>
    <t xml:space="preserve">REQ-LEAVE-006; submitLeaveRequest</t>
  </si>
  <si>
    <t xml:space="preserve">部门没有匹配的启用请假流程模板</t>
  </si>
  <si>
    <t xml:space="preserve">1. 提交草稿</t>
  </si>
  <si>
    <t xml:space="preserve">有效草稿</t>
  </si>
  <si>
    <t xml:space="preserve">拒绝提交并提示无可用审批模板</t>
  </si>
  <si>
    <t xml:space="preserve">TC-LEAVE-007</t>
  </si>
  <si>
    <t xml:space="preserve">REQ-LEAVE-007; approveWorkflowTask</t>
  </si>
  <si>
    <t xml:space="preserve">请假申请处于审批中，审批人有待办</t>
  </si>
  <si>
    <t xml:space="preserve">1. 审批通过 2. 查看申请、余额、流水</t>
  </si>
  <si>
    <t xml:space="preserve">申请变 APPROVED，余额按规则扣减，新增不可篡改流水</t>
  </si>
  <si>
    <t xml:space="preserve">TC-LEAVE-008</t>
  </si>
  <si>
    <t xml:space="preserve">REQ-LEAVE-008; rejectWorkflowTask</t>
  </si>
  <si>
    <t xml:space="preserve">请假申请处于审批中</t>
  </si>
  <si>
    <t xml:space="preserve">1. 审批驳回 2. 查看申请和余额</t>
  </si>
  <si>
    <t xml:space="preserve">taskId / 驳回意见</t>
  </si>
  <si>
    <t xml:space="preserve">申请变 REJECTED，余额不扣减，保留审批意见日志</t>
  </si>
  <si>
    <t xml:space="preserve">TC-LEAVE-009</t>
  </si>
  <si>
    <t xml:space="preserve">REQ-LEAVE-009; cancelLeaveRequest</t>
  </si>
  <si>
    <t xml:space="preserve">草稿或允许撤销的申请存在</t>
  </si>
  <si>
    <t xml:space="preserve">1. 取消申请 2. 再次查看列表</t>
  </si>
  <si>
    <t xml:space="preserve">requestId / version</t>
  </si>
  <si>
    <t xml:space="preserve">状态变 CANCELLED；需要恢复的余额及流水保持一致</t>
  </si>
  <si>
    <t xml:space="preserve">TC-LEAVE-010</t>
  </si>
  <si>
    <t xml:space="preserve">REQ-LEAVE-010; approveWorkflowTask</t>
  </si>
  <si>
    <t xml:space="preserve">两个审批会话同时处理同一任务</t>
  </si>
  <si>
    <t xml:space="preserve">1. 会话 A 通过 2. 会话 B 再通过</t>
  </si>
  <si>
    <t xml:space="preserve">同一 taskId / version</t>
  </si>
  <si>
    <t xml:space="preserve">仅一次审批成功；第二次返回冲突或无效状态；仅一条余额流水</t>
  </si>
  <si>
    <t xml:space="preserve">TC-LEAVE-011</t>
  </si>
  <si>
    <t xml:space="preserve">REQ-LEAVE-011; withdrawWorkflowInstance</t>
  </si>
  <si>
    <t xml:space="preserve">申请流程未结束且发起人可撤回</t>
  </si>
  <si>
    <t xml:space="preserve">1. 撤回流程 2. 查看待办和状态</t>
  </si>
  <si>
    <t xml:space="preserve">workflowInstanceId / version</t>
  </si>
  <si>
    <t xml:space="preserve">流程撤回，待办失效，申请回到规则允许的状态且数据一致</t>
  </si>
  <si>
    <t xml:space="preserve">TC-LEAVE-012</t>
  </si>
  <si>
    <t xml:space="preserve">REQ-LEAVE-012</t>
  </si>
  <si>
    <t xml:space="preserve">界面</t>
  </si>
  <si>
    <t xml:space="preserve">网络故障或接口返回校验错误</t>
  </si>
  <si>
    <t xml:space="preserve">1. 断网或模拟 4xx/5xx 2. 提交表单</t>
  </si>
  <si>
    <t xml:space="preserve">非法必填项 / 网络错误</t>
  </si>
  <si>
    <t xml:space="preserve">表单提示明确，不丢失已输入内容，不出现无限加载</t>
  </si>
  <si>
    <t xml:space="preserve">TC-BAL-001</t>
  </si>
  <si>
    <t xml:space="preserve">假期余额</t>
  </si>
  <si>
    <t xml:space="preserve">REQ-BAL-001; listMyLeaveBalances</t>
  </si>
  <si>
    <t xml:space="preserve">员工已登录并有多种余额</t>
  </si>
  <si>
    <t xml:space="preserve">1. 打开假期余额页面</t>
  </si>
  <si>
    <t xml:space="preserve">员工账户</t>
  </si>
  <si>
    <t xml:space="preserve">仅显示本人各类型余额、可用与冻结时数</t>
  </si>
  <si>
    <t xml:space="preserve">TC-BAL-002</t>
  </si>
  <si>
    <t xml:space="preserve">REQ-BAL-002; listEmployeeLeaveBalances</t>
  </si>
  <si>
    <t xml:space="preserve">权限</t>
  </si>
  <si>
    <t xml:space="preserve">HR 管理员与普通员工分别登录</t>
  </si>
  <si>
    <t xml:space="preserve">1. 查询指定员工余额</t>
  </si>
  <si>
    <t xml:space="preserve">employeeId</t>
  </si>
  <si>
    <t xml:space="preserve">HR 可查询授权范围；普通员工无权查询他人</t>
  </si>
  <si>
    <t xml:space="preserve">TC-BAL-003</t>
  </si>
  <si>
    <t xml:space="preserve">REQ-BAL-003; adjustLeaveBalance</t>
  </si>
  <si>
    <t xml:space="preserve">attendance:manage 账号和目标余额存在</t>
  </si>
  <si>
    <t xml:space="preserve">1. 调整余额 2. 填写原因 3. 查询流水</t>
  </si>
  <si>
    <t xml:space="preserve">+8 小时 / 合法 version</t>
  </si>
  <si>
    <t xml:space="preserve">余额更新，变动流水含类型、前后值、原因、操作者</t>
  </si>
  <si>
    <t xml:space="preserve">TC-BAL-004</t>
  </si>
  <si>
    <t xml:space="preserve">REQ-BAL-004; adjustLeaveBalance</t>
  </si>
  <si>
    <t xml:space="preserve">目标余额存在</t>
  </si>
  <si>
    <t xml:space="preserve">1. 提交导致可用余额小于零的调整</t>
  </si>
  <si>
    <t xml:space="preserve">负向超额小时</t>
  </si>
  <si>
    <t xml:space="preserve">拒绝调整，余额和流水不变</t>
  </si>
  <si>
    <t xml:space="preserve">TC-BAL-005</t>
  </si>
  <si>
    <t xml:space="preserve">REQ-BAL-005; adjustLeaveBalance</t>
  </si>
  <si>
    <t xml:space="preserve">两名管理员读取同一余额</t>
  </si>
  <si>
    <t xml:space="preserve">1. A 调整并保存 2. B 用旧 version 调整</t>
  </si>
  <si>
    <t xml:space="preserve">旧 version</t>
  </si>
  <si>
    <t xml:space="preserve">B 返回 409，不覆盖 A 的结果</t>
  </si>
  <si>
    <t xml:space="preserve">TC-BAL-006</t>
  </si>
  <si>
    <t xml:space="preserve">REQ-BAL-006; listLeaveBalanceChanges</t>
  </si>
  <si>
    <t xml:space="preserve">审计</t>
  </si>
  <si>
    <t xml:space="preserve">已发生请假审批、撤销、人工调整</t>
  </si>
  <si>
    <t xml:space="preserve">1. 查询余额变动流水</t>
  </si>
  <si>
    <t xml:space="preserve">balanceId</t>
  </si>
  <si>
    <t xml:space="preserve">流水完整、时间顺序正确且历史记录不可编辑</t>
  </si>
  <si>
    <t xml:space="preserve">TC-OT-001</t>
  </si>
  <si>
    <t xml:space="preserve">加班管理</t>
  </si>
  <si>
    <t xml:space="preserve">REQ-OT-001; createOvertimeRequestDraft</t>
  </si>
  <si>
    <t xml:space="preserve">员工已登录且存在有效加班模板</t>
  </si>
  <si>
    <t xml:space="preserve">1. 新建加班草稿 2. 输入起止时间和补偿方式</t>
  </si>
  <si>
    <t xml:space="preserve">工作日 18:00-21:00 / TIME_OFF</t>
  </si>
  <si>
    <t xml:space="preserve">草稿保存，时长为 3 小时，状态为 DRAFT</t>
  </si>
  <si>
    <t xml:space="preserve">TC-OT-002</t>
  </si>
  <si>
    <t xml:space="preserve">REQ-OT-002; createOvertimeRequestDraft</t>
  </si>
  <si>
    <t xml:space="preserve">员工已登录</t>
  </si>
  <si>
    <t xml:space="preserve">1. 提交结束时间早于开始时间的草稿</t>
  </si>
  <si>
    <t xml:space="preserve">endTime &lt; startTime</t>
  </si>
  <si>
    <t xml:space="preserve">参数校验失败，不创建草稿</t>
  </si>
  <si>
    <t xml:space="preserve">TC-OT-003</t>
  </si>
  <si>
    <t xml:space="preserve">REQ-OT-003; submitOvertimeRequest</t>
  </si>
  <si>
    <t xml:space="preserve">存在有效加班草稿</t>
  </si>
  <si>
    <t xml:space="preserve">1. 提交 2. 查看审批待办</t>
  </si>
  <si>
    <t xml:space="preserve">状态为 IN_PROGRESS，审批实例和待办生成</t>
  </si>
  <si>
    <t xml:space="preserve">TC-OT-004</t>
  </si>
  <si>
    <t xml:space="preserve">REQ-OT-004; approveWorkflowTask</t>
  </si>
  <si>
    <t xml:space="preserve">调休类加班正在审批</t>
  </si>
  <si>
    <t xml:space="preserve">1. 审批通过 2. 查询对应调休余额</t>
  </si>
  <si>
    <t xml:space="preserve">TIME_OFF / taskId</t>
  </si>
  <si>
    <t xml:space="preserve">加班状态 APPROVED，调休余额或变动按规则更新且仅一次</t>
  </si>
  <si>
    <t xml:space="preserve">TC-OT-005</t>
  </si>
  <si>
    <t xml:space="preserve">REQ-OT-005; approveWorkflowTask</t>
  </si>
  <si>
    <t xml:space="preserve">加班补偿方式为 OVERTIME_PAY</t>
  </si>
  <si>
    <t xml:space="preserve">1. 审批通过 2. 查看加班记录</t>
  </si>
  <si>
    <t xml:space="preserve">OVERTIME_PAY / taskId</t>
  </si>
  <si>
    <t xml:space="preserve">加班审批通过，不错误增加调休余额</t>
  </si>
  <si>
    <t xml:space="preserve">TC-OT-006</t>
  </si>
  <si>
    <t xml:space="preserve">REQ-OT-006; cancelOvertimeRequest</t>
  </si>
  <si>
    <t xml:space="preserve">存在可取消加班申请</t>
  </si>
  <si>
    <t xml:space="preserve">1. 取消 2. 查询申请与待办</t>
  </si>
  <si>
    <t xml:space="preserve">状态变 CANCELLED；待办关闭；必要的调休变动被正确回退</t>
  </si>
  <si>
    <t xml:space="preserve">TC-OT-007</t>
  </si>
  <si>
    <t xml:space="preserve">REQ-OT-007; listMyOvertimeRequests</t>
  </si>
  <si>
    <t xml:space="preserve">数据范围</t>
  </si>
  <si>
    <t xml:space="preserve">员工 A 与 B 均有加班单</t>
  </si>
  <si>
    <t xml:space="preserve">1. 以 A 登录查询列表</t>
  </si>
  <si>
    <t xml:space="preserve">员工 A 会话</t>
  </si>
  <si>
    <t xml:space="preserve">仅返回 A 自己的加班申请</t>
  </si>
  <si>
    <t xml:space="preserve">TC-WF-001</t>
  </si>
  <si>
    <t xml:space="preserve">审批模板</t>
  </si>
  <si>
    <t xml:space="preserve">REQ-WF-001; createWorkflowTemplate</t>
  </si>
  <si>
    <t xml:space="preserve">workflow:manage 账号已登录</t>
  </si>
  <si>
    <t xml:space="preserve">1. 新建请假模板 2. 配置部门范围和节点 3. 启用</t>
  </si>
  <si>
    <t xml:space="preserve">LEAVE / 直属主管 + HR</t>
  </si>
  <si>
    <t xml:space="preserve">模板保存成功，节点顺序和适用范围正确</t>
  </si>
  <si>
    <t xml:space="preserve">TC-WF-002</t>
  </si>
  <si>
    <t xml:space="preserve">REQ-WF-002; createWorkflowTemplate</t>
  </si>
  <si>
    <t xml:space="preserve">1. 提交无节点或重复 nodeNo 的模板</t>
  </si>
  <si>
    <t xml:space="preserve">nodes=[] / 重复序号</t>
  </si>
  <si>
    <t xml:space="preserve">校验失败，不创建不可运行模板</t>
  </si>
  <si>
    <t xml:space="preserve">TC-WF-003</t>
  </si>
  <si>
    <t xml:space="preserve">REQ-WF-003; updateWorkflowTemplate</t>
  </si>
  <si>
    <t xml:space="preserve">两个管理员编辑同一模板</t>
  </si>
  <si>
    <t xml:space="preserve">1. A 更新 2. B 用旧 version 更新</t>
  </si>
  <si>
    <t xml:space="preserve">同一模板 / 旧 version</t>
  </si>
  <si>
    <t xml:space="preserve">B 返回 409，A 的版本保留</t>
  </si>
  <si>
    <t xml:space="preserve">TC-WF-004</t>
  </si>
  <si>
    <t xml:space="preserve">审批中心</t>
  </si>
  <si>
    <t xml:space="preserve">REQ-WF-004; listWorkflowTasks</t>
  </si>
  <si>
    <t xml:space="preserve">审批人有待办与已办</t>
  </si>
  <si>
    <t xml:space="preserve">1. 打开审批中心 2. 切换待办/已办条件</t>
  </si>
  <si>
    <t xml:space="preserve">审批人账号</t>
  </si>
  <si>
    <t xml:space="preserve">任务状态、业务类型、申请人、时间及分页符合筛选条件</t>
  </si>
  <si>
    <t xml:space="preserve">TC-WF-005</t>
  </si>
  <si>
    <t xml:space="preserve">REQ-WF-005; approveWorkflowTask</t>
  </si>
  <si>
    <t xml:space="preserve">当前审批人持有有效待办</t>
  </si>
  <si>
    <t xml:space="preserve">1. 填写意见 2. 点击通过 3. 查询实例详情</t>
  </si>
  <si>
    <t xml:space="preserve">taskId / version / 意见</t>
  </si>
  <si>
    <t xml:space="preserve">任务完成，流转下一节点或结束；完整动作日志可追溯</t>
  </si>
  <si>
    <t xml:space="preserve">TC-WF-006</t>
  </si>
  <si>
    <t xml:space="preserve">REQ-WF-006; rejectWorkflowTask</t>
  </si>
  <si>
    <t xml:space="preserve">1. 填写驳回意见 2. 驳回</t>
  </si>
  <si>
    <t xml:space="preserve">实例和业务单据进入 REJECTED，日志记录操作人与意见</t>
  </si>
  <si>
    <t xml:space="preserve">TC-WF-007</t>
  </si>
  <si>
    <t xml:space="preserve">REQ-WF-007; returnWorkflowTask</t>
  </si>
  <si>
    <t xml:space="preserve">流程存在可退回的前节点</t>
  </si>
  <si>
    <t xml:space="preserve">1. 选择退回节点 2. 提交意见</t>
  </si>
  <si>
    <t xml:space="preserve">taskId / target node</t>
  </si>
  <si>
    <t xml:space="preserve">任务退回指定节点，后续待办状态正确</t>
  </si>
  <si>
    <t xml:space="preserve">TC-WF-008</t>
  </si>
  <si>
    <t xml:space="preserve">REQ-WF-008; transferWorkflowTask</t>
  </si>
  <si>
    <t xml:space="preserve">审批人拥有转交权限或符合规则</t>
  </si>
  <si>
    <t xml:space="preserve">1. 选择受让人 2. 转交</t>
  </si>
  <si>
    <t xml:space="preserve">taskId / targetUserId</t>
  </si>
  <si>
    <t xml:space="preserve">原待办关闭，新受让人可见待办，日志完整</t>
  </si>
  <si>
    <t xml:space="preserve">TC-WF-009</t>
  </si>
  <si>
    <t xml:space="preserve">REQ-WF-009; getWorkflowInstance</t>
  </si>
  <si>
    <t xml:space="preserve">流程已发生多个动作</t>
  </si>
  <si>
    <t xml:space="preserve">1. 打开实例详情</t>
  </si>
  <si>
    <t xml:space="preserve">workflowInstanceId</t>
  </si>
  <si>
    <t xml:space="preserve">展示节点快照、当前状态、操作流水和业务关联，历史不因模板修改而改变</t>
  </si>
  <si>
    <t xml:space="preserve">TC-ATT-001</t>
  </si>
  <si>
    <t xml:space="preserve">月度假勤汇总</t>
  </si>
  <si>
    <t xml:space="preserve">REQ-ATT-001; rebuildAttendanceMonthlySummaries</t>
  </si>
  <si>
    <t xml:space="preserve">attendance:manage 账号；当月有已通过请假、加班和待审批申请</t>
  </si>
  <si>
    <t xml:space="preserve">1. 打开月度汇总 2. 选择月份 3. 点击重建</t>
  </si>
  <si>
    <t xml:space="preserve">返回 affectedRows；为授权数据范围内员工创建或更新快照</t>
  </si>
  <si>
    <t xml:space="preserve">TC-ATT-002</t>
  </si>
  <si>
    <t xml:space="preserve">REQ-ATT-002; listAttendanceMonthlySummaries</t>
  </si>
  <si>
    <t xml:space="preserve">已重建指定月份</t>
  </si>
  <si>
    <t xml:space="preserve">1. 查询月度汇总</t>
  </si>
  <si>
    <t xml:space="preserve">返回工号、员工、部门、请假、加班、调休净变动、待审批、生成时间</t>
  </si>
  <si>
    <t xml:space="preserve">TC-ATT-003</t>
  </si>
  <si>
    <t xml:space="preserve">REQ-ATT-003; listAttendanceMonthlySummaries</t>
  </si>
  <si>
    <t xml:space="preserve">口径</t>
  </si>
  <si>
    <t xml:space="preserve">已准备请假 8 小时、加班 3 小时、调休变动和 1 个待审批单</t>
  </si>
  <si>
    <t xml:space="preserve">1. 重建 2. 对照源申请与余额流水</t>
  </si>
  <si>
    <t xml:space="preserve">目标员工 / 2026-07</t>
  </si>
  <si>
    <t xml:space="preserve">快照字段与原始数据口径一致：仅聚合当月、已通过及规则要求的数据</t>
  </si>
  <si>
    <t xml:space="preserve">TC-ATT-004</t>
  </si>
  <si>
    <t xml:space="preserve">REQ-ATT-004; listAttendanceMonthlySummaries</t>
  </si>
  <si>
    <t xml:space="preserve">筛选</t>
  </si>
  <si>
    <t xml:space="preserve">同月存在多个部门和员工快照</t>
  </si>
  <si>
    <t xml:space="preserve">1. 按 departmentId 查询 2. 按 employeeId 查询 3. 组合查询</t>
  </si>
  <si>
    <t xml:space="preserve">合法 departmentId / employeeId</t>
  </si>
  <si>
    <t xml:space="preserve">每个筛选结果准确；组合筛选取交集</t>
  </si>
  <si>
    <t xml:space="preserve">TC-ATT-005</t>
  </si>
  <si>
    <t xml:space="preserve">REQ-ATT-005; listAttendanceMonthlySummaries</t>
  </si>
  <si>
    <t xml:space="preserve">1. 查询非法 month</t>
  </si>
  <si>
    <t xml:space="preserve">2026-13、2026-7、空值</t>
  </si>
  <si>
    <t xml:space="preserve">返回 400/校验错误；不返回错误月份数据</t>
  </si>
  <si>
    <t xml:space="preserve">TC-ATT-006</t>
  </si>
  <si>
    <t xml:space="preserve">REQ-ATT-006; rebuildAttendanceMonthlySummaries</t>
  </si>
  <si>
    <t xml:space="preserve">幂等</t>
  </si>
  <si>
    <t xml:space="preserve">已完成当月首次重建</t>
  </si>
  <si>
    <t xml:space="preserve">1. 连续两次重建同一月份 2. 查询快照</t>
  </si>
  <si>
    <t xml:space="preserve">同一员工每月仅一条快照；数据更新而非重复插入</t>
  </si>
  <si>
    <t xml:space="preserve">TC-ATT-007</t>
  </si>
  <si>
    <t xml:space="preserve">REQ-ATT-007; rebuildAttendanceMonthlySummaries</t>
  </si>
  <si>
    <t xml:space="preserve">更新</t>
  </si>
  <si>
    <t xml:space="preserve">当月新增批准请假或加班后</t>
  </si>
  <si>
    <t xml:space="preserve">1. 首次重建 2. 新增源单据并完成审批 3. 再次重建</t>
  </si>
  <si>
    <t xml:space="preserve">同月新业务单据</t>
  </si>
  <si>
    <t xml:space="preserve">相关员工快照数值和生成时间更新，其他员工数据不受影响</t>
  </si>
  <si>
    <t xml:space="preserve">TC-ATT-008</t>
  </si>
  <si>
    <t xml:space="preserve">REQ-ATT-008; rebuildAttendanceMonthlySummaries</t>
  </si>
  <si>
    <t xml:space="preserve">普通员工与无权限 HR 已登录</t>
  </si>
  <si>
    <t xml:space="preserve">1. 直接访问列表 2. 调用重建接口 3. 尝试打开路由</t>
  </si>
  <si>
    <t xml:space="preserve">无 attendance:manage 权限</t>
  </si>
  <si>
    <t xml:space="preserve">侧栏不显示入口；接口均返回 403；无数据泄露</t>
  </si>
  <si>
    <t xml:space="preserve">TC-ATT-009</t>
  </si>
  <si>
    <t xml:space="preserve">REQ-ATT-009</t>
  </si>
  <si>
    <t xml:space="preserve">1. 打开页面 2. 切换月份 3. 清空部门和员工筛选 4. 点击刷新</t>
  </si>
  <si>
    <t xml:space="preserve">合法月值、部门/员工 ID</t>
  </si>
  <si>
    <t xml:space="preserve">加载态正确；表格刷新与筛选同步；空结果展示空状态</t>
  </si>
  <si>
    <t xml:space="preserve">TC-ATT-010</t>
  </si>
  <si>
    <t xml:space="preserve">REQ-ATT-010</t>
  </si>
  <si>
    <t xml:space="preserve">模拟查询或重建接口失败</t>
  </si>
  <si>
    <t xml:space="preserve">1. 断网或返回 500 2. 执行查询/重建</t>
  </si>
  <si>
    <t xml:space="preserve">网络异常 / 500</t>
  </si>
  <si>
    <t xml:space="preserve">提示加载或重建失败；按钮恢复可用；已有表格数据不被错误覆盖</t>
  </si>
  <si>
    <t xml:space="preserve">TC-SYS-001</t>
  </si>
  <si>
    <t xml:space="preserve">系统访问控制</t>
  </si>
  <si>
    <t xml:space="preserve">REQ-SYS-001; listSystemRoles</t>
  </si>
  <si>
    <t xml:space="preserve">system:manage 账号已登录</t>
  </si>
  <si>
    <t xml:space="preserve">1. 打开系统管理 2. 查询角色</t>
  </si>
  <si>
    <t xml:space="preserve">管理员账号</t>
  </si>
  <si>
    <t xml:space="preserve">显示角色编码、名称、状态和权限信息</t>
  </si>
  <si>
    <t xml:space="preserve">TC-SYS-002</t>
  </si>
  <si>
    <t xml:space="preserve">REQ-SYS-002; listSystemUsers</t>
  </si>
  <si>
    <t xml:space="preserve">1. 查询用户列表 2. 搜索已知账号</t>
  </si>
  <si>
    <t xml:space="preserve">username</t>
  </si>
  <si>
    <t xml:space="preserve">返回准确用户及角色；不暴露密码哈希、令牌等敏感字段</t>
  </si>
  <si>
    <t xml:space="preserve">TC-SYS-003</t>
  </si>
  <si>
    <t xml:space="preserve">REQ-SYS-003; replaceUserRoles</t>
  </si>
  <si>
    <t xml:space="preserve">管理员与目标用户存在</t>
  </si>
  <si>
    <t xml:space="preserve">1. 替换目标用户角色 2. 目标用户刷新会话 3. 获取权限菜单</t>
  </si>
  <si>
    <t xml:space="preserve">roleIds / version</t>
  </si>
  <si>
    <t xml:space="preserve">角色关系更新；新权限生效；旧权限被回收</t>
  </si>
  <si>
    <t xml:space="preserve">TC-SYS-004</t>
  </si>
  <si>
    <t xml:space="preserve">REQ-SYS-004; replaceUserRoles</t>
  </si>
  <si>
    <t xml:space="preserve">两名管理员同时分配角色</t>
  </si>
  <si>
    <t xml:space="preserve">1. A 保存角色分配 2. B 用旧 version 保存</t>
  </si>
  <si>
    <t xml:space="preserve">同一用户 / 旧 version</t>
  </si>
  <si>
    <t xml:space="preserve">后提交请求返回 409，角色关系不被静默覆盖</t>
  </si>
  <si>
    <t xml:space="preserve">TC-SYS-005</t>
  </si>
  <si>
    <t xml:space="preserve">REQ-SYS-005</t>
  </si>
  <si>
    <t xml:space="preserve">1. 直接访问 /system/users 页面和接口</t>
  </si>
  <si>
    <t xml:space="preserve">普通员工会话</t>
  </si>
  <si>
    <t xml:space="preserve">页面路由受保护，接口返回 403</t>
  </si>
  <si>
    <t xml:space="preserve">TC-UI-001</t>
  </si>
  <si>
    <t xml:space="preserve">前端通用体验</t>
  </si>
  <si>
    <t xml:space="preserve">REQ-UI-001</t>
  </si>
  <si>
    <t xml:space="preserve">前后端均已启动</t>
  </si>
  <si>
    <t xml:space="preserve">1. 登录 2. 逐一访问已实现菜单</t>
  </si>
  <si>
    <t xml:space="preserve">Chrome/Edge 最新版</t>
  </si>
  <si>
    <t xml:space="preserve">工作台、组织、请假、加班、日历、余额、月度汇总、审批、模板、系统页均可打开</t>
  </si>
  <si>
    <t xml:space="preserve">TC-UI-002</t>
  </si>
  <si>
    <t xml:space="preserve">REQ-UI-002</t>
  </si>
  <si>
    <t xml:space="preserve">兼容性</t>
  </si>
  <si>
    <t xml:space="preserve">1. 使用 1280x720、1440x900 和移动宽度访问关键页</t>
  </si>
  <si>
    <t xml:space="preserve">三种视口</t>
  </si>
  <si>
    <t xml:space="preserve">导航、表格、抽屉和表单无遮挡；可滚动且主要操作可用</t>
  </si>
  <si>
    <t xml:space="preserve">TC-UI-003</t>
  </si>
  <si>
    <t xml:space="preserve">REQ-UI-003</t>
  </si>
  <si>
    <t xml:space="preserve">模拟接口超时、401、403、409、500</t>
  </si>
  <si>
    <t xml:space="preserve">1. 在列表和编辑页触发各响应</t>
  </si>
  <si>
    <t xml:space="preserve">接口错误码</t>
  </si>
  <si>
    <t xml:space="preserve">显示有区分的提示；401 回登录；409 提示刷新或重试</t>
  </si>
  <si>
    <t xml:space="preserve">TC-UI-004</t>
  </si>
  <si>
    <t xml:space="preserve">REQ-UI-004</t>
  </si>
  <si>
    <t xml:space="preserve">已登录低权限用户</t>
  </si>
  <si>
    <t xml:space="preserve">1. 手动输入无权路由 2. 刷新浏览器</t>
  </si>
  <si>
    <t xml:space="preserve">/attendance/summary、/system/users</t>
  </si>
  <si>
    <t xml:space="preserve">前端不展示受限内容；后端继续阻断接口</t>
  </si>
  <si>
    <t xml:space="preserve">TC-UI-005</t>
  </si>
  <si>
    <t xml:space="preserve">REQ-UI-005</t>
  </si>
  <si>
    <t xml:space="preserve">可用性</t>
  </si>
  <si>
    <t xml:space="preserve">列表页有数据、无数据和加载中状态</t>
  </si>
  <si>
    <t xml:space="preserve">1. 切换筛选 2. 刷新页面 3. 清空筛选</t>
  </si>
  <si>
    <t xml:space="preserve">各业务列表</t>
  </si>
  <si>
    <t xml:space="preserve">加载、空态、错误态文案清晰；不会显示过期数据</t>
  </si>
  <si>
    <t xml:space="preserve">TC-UI-006</t>
  </si>
  <si>
    <t xml:space="preserve">接口契约与追踪</t>
  </si>
  <si>
    <t xml:space="preserve">REQ-UI-006; OpenAPI</t>
  </si>
  <si>
    <t xml:space="preserve">后端已启动</t>
  </si>
  <si>
    <t xml:space="preserve">1. 执行契约测试 2. 对写操作检查 traceId 3. 记录迁移版本</t>
  </si>
  <si>
    <t xml:space="preserve">OpenAPI / Flyway V011</t>
  </si>
  <si>
    <t xml:space="preserve">接口与 OpenAPI 一致；错误响应可关联 traceId；V011 迁移成功</t>
  </si>
  <si>
    <t xml:space="preserve">测试数据与角色</t>
  </si>
  <si>
    <t xml:space="preserve">执行前先创建或核对以下虚构数据；不要使用真实人事数据。</t>
  </si>
  <si>
    <t xml:space="preserve">类别</t>
  </si>
  <si>
    <t xml:space="preserve">标识</t>
  </si>
  <si>
    <t xml:space="preserve">建议数据</t>
  </si>
  <si>
    <t xml:space="preserve">用途</t>
  </si>
  <si>
    <t xml:space="preserve">角色</t>
  </si>
  <si>
    <t xml:space="preserve">ADMIN</t>
  </si>
  <si>
    <t xml:space="preserve">system:manage、org:manage、attendance:manage、workflow:manage、workflow:approve</t>
  </si>
  <si>
    <t xml:space="preserve">管理、重建、配置和审批正向用例</t>
  </si>
  <si>
    <t xml:space="preserve">EMP-A</t>
  </si>
  <si>
    <t xml:space="preserve">普通在职员工，部门 A，余额充足</t>
  </si>
  <si>
    <t xml:space="preserve">个人数据隔离、请假/加班正向用例</t>
  </si>
  <si>
    <t xml:space="preserve">EMP-B</t>
  </si>
  <si>
    <t xml:space="preserve">普通在职员工，部门 B</t>
  </si>
  <si>
    <t xml:space="preserve">越权与跨部门隔离用例</t>
  </si>
  <si>
    <t xml:space="preserve">MANAGER-A</t>
  </si>
  <si>
    <t xml:space="preserve">部门 A 直属主管，具有 workflow:approve</t>
  </si>
  <si>
    <t xml:space="preserve">请假/加班审批、转交/退回用例</t>
  </si>
  <si>
    <t xml:space="preserve">HR-READ</t>
  </si>
  <si>
    <t xml:space="preserve">仅 attendance:read，无 attendance:manage</t>
  </si>
  <si>
    <t xml:space="preserve">月度汇总和余额管理越权用例</t>
  </si>
  <si>
    <t xml:space="preserve">组织</t>
  </si>
  <si>
    <t xml:space="preserve">DEPT-ROOT / DEPT-A / DEPT-B</t>
  </si>
  <si>
    <t xml:space="preserve">根部门下至少两个子部门</t>
  </si>
  <si>
    <t xml:space="preserve">组织树、数据范围和筛选用例</t>
  </si>
  <si>
    <t xml:space="preserve">员工</t>
  </si>
  <si>
    <t xml:space="preserve">EMP-TEST-001</t>
  </si>
  <si>
    <t xml:space="preserve">在职、部门 A、有效岗位和职级</t>
  </si>
  <si>
    <t xml:space="preserve">创建重复工号、请假、加班、汇总用例</t>
  </si>
  <si>
    <t xml:space="preserve">EMP-RESIGNED-001</t>
  </si>
  <si>
    <t xml:space="preserve">离职状态员工</t>
  </si>
  <si>
    <t xml:space="preserve">离职员工不得提交申请用例</t>
  </si>
  <si>
    <t xml:space="preserve">日历</t>
  </si>
  <si>
    <t xml:space="preserve">CAL-2026</t>
  </si>
  <si>
    <t xml:space="preserve">含工作日、周末、节假日和调休工作日</t>
  </si>
  <si>
    <t xml:space="preserve">时长计算和日期规则用例</t>
  </si>
  <si>
    <t xml:space="preserve">余额</t>
  </si>
  <si>
    <t xml:space="preserve">LB-ANNUAL-A</t>
  </si>
  <si>
    <t xml:space="preserve">年假 16 小时；另准备 4 小时不足余额</t>
  </si>
  <si>
    <t xml:space="preserve">余额扣减、调整、并发和不足用例</t>
  </si>
  <si>
    <t xml:space="preserve">流程</t>
  </si>
  <si>
    <t xml:space="preserve">WF-LEAVE-A</t>
  </si>
  <si>
    <t xml:space="preserve">部门 A 的启用请假模板：直属主管 -&gt; HR</t>
  </si>
  <si>
    <t xml:space="preserve">请假提交和审批闭环用例</t>
  </si>
  <si>
    <t xml:space="preserve">WF-OT-A</t>
  </si>
  <si>
    <t xml:space="preserve">部门 A 的启用加班模板</t>
  </si>
  <si>
    <t xml:space="preserve">加班提交和审批闭环用例</t>
  </si>
  <si>
    <t xml:space="preserve">汇总口径</t>
  </si>
  <si>
    <t xml:space="preserve">2026-07</t>
  </si>
  <si>
    <t xml:space="preserve">EMP-A：已批请假 8h、已批调休加班 3h、待审 1 单</t>
  </si>
  <si>
    <t xml:space="preserve">月度汇总数值、重建和幂等用例</t>
  </si>
  <si>
    <t xml:space="preserve">执行汇总</t>
  </si>
  <si>
    <t xml:space="preserve">以下指标引用“功能测试用例”工作表；填写执行状态后自动更新。</t>
  </si>
  <si>
    <t xml:space="preserve">统计项</t>
  </si>
  <si>
    <t xml:space="preserve">数量</t>
  </si>
  <si>
    <t xml:space="preserve">用例总数</t>
  </si>
  <si>
    <t xml:space="preserve">已编写的功能测试用例数</t>
  </si>
  <si>
    <t xml:space="preserve">P0 用例数</t>
  </si>
  <si>
    <t xml:space="preserve">阻断级核心用例</t>
  </si>
  <si>
    <t xml:space="preserve">尚未填写执行结果</t>
  </si>
  <si>
    <t xml:space="preserve">通过</t>
  </si>
  <si>
    <t xml:space="preserve">执行通过的用例</t>
  </si>
  <si>
    <t xml:space="preserve">失败</t>
  </si>
  <si>
    <t xml:space="preserve">执行失败的用例</t>
  </si>
  <si>
    <t xml:space="preserve">阻塞</t>
  </si>
  <si>
    <t xml:space="preserve">因环境/依赖无法执行的用例</t>
  </si>
  <si>
    <t xml:space="preserve">执行完成率</t>
  </si>
  <si>
    <t xml:space="preserve">通过、失败、阻塞占总用例比例</t>
  </si>
  <si>
    <t xml:space="preserve">通过率</t>
  </si>
  <si>
    <t xml:space="preserve">仅按已判定通过/失败计算</t>
  </si>
  <si>
    <t xml:space="preserve">发布建议</t>
  </si>
  <si>
    <t xml:space="preserve">P0 全部通过且无阻断/严重缺陷后，才建议进入验收。</t>
  </si>
  <si>
    <t xml:space="preserve">人工判定</t>
  </si>
</sst>
</file>

<file path=xl/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4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3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8"/>
  <cols>
    <col min="1" max="1" width="24" customWidth="1"/>
    <col min="2" max="2" width="120" customWidth="1"/>
  </cols>
  <sheetData>
    <row r="1" ht="24" customHeight="1">
      <c r="A1" t="s" s="4">
        <v>0</v>
      </c>
      <c r="B1" t="s" s="0">
        <v>1</v>
      </c>
    </row>
    <row r="2" ht="30" customHeight="1">
      <c r="A2" t="s" s="4">
        <v>2</v>
      </c>
      <c r="B2" t="s" s="0">
        <v>3</v>
      </c>
    </row>
    <row r="3">
      <c r="A3" t="s" s="4">
        <v>4</v>
      </c>
      <c r="B3" t="s" s="0">
        <v>5</v>
      </c>
    </row>
    <row r="4">
      <c r="A4" t="s" s="4">
        <v>6</v>
      </c>
      <c r="B4" t="s" s="0">
        <v>7</v>
      </c>
    </row>
    <row r="5">
      <c r="A5" t="s" s="4">
        <v>8</v>
      </c>
      <c r="B5" t="s" s="0">
        <v>9</v>
      </c>
    </row>
    <row r="6">
      <c r="A6" t="s" s="4">
        <v>10</v>
      </c>
      <c r="B6" t="s" s="0">
        <v>11</v>
      </c>
    </row>
    <row r="7">
      <c r="A7" t="s" s="4">
        <v>12</v>
      </c>
      <c r="B7" t="s" s="0">
        <v>13</v>
      </c>
    </row>
    <row r="8">
      <c r="A8" t="s" s="4">
        <v>14</v>
      </c>
      <c r="B8" t="s" s="0">
        <v>15</v>
      </c>
    </row>
  </sheetData>
  <pageMargins left="0.3" right="0.3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16" customWidth="1"/>
    <col min="2" max="2" width="16" customWidth="1"/>
    <col min="3" max="3" width="34" customWidth="1"/>
    <col min="4" max="4" width="9" customWidth="1"/>
    <col min="5" max="5" width="12" customWidth="1"/>
    <col min="6" max="6" width="34" customWidth="1"/>
    <col min="7" max="7" width="60" customWidth="1"/>
    <col min="8" max="8" width="28" customWidth="1"/>
    <col min="9" max="9" width="60" customWidth="1"/>
    <col min="10" max="10" width="36" customWidth="1"/>
    <col min="11" max="11" width="12" customWidth="1"/>
    <col min="12" max="12" width="14" customWidth="1"/>
    <col min="13" max="13" width="12" customWidth="1"/>
    <col min="14" max="14" width="14" customWidth="1"/>
  </cols>
  <sheetData>
    <row r="1" ht="24" customHeight="1">
      <c r="A1" t="s" s="4">
        <v>16</v>
      </c>
      <c r="B1" t="s" s="0">
        <v>17</v>
      </c>
    </row>
    <row r="2" ht="30" customHeight="1">
      <c r="A2" t="s" s="4">
        <v>18</v>
      </c>
      <c r="B2" t="s" s="4">
        <v>19</v>
      </c>
      <c r="C2" t="s" s="4">
        <v>20</v>
      </c>
      <c r="D2" t="s" s="4">
        <v>21</v>
      </c>
      <c r="E2" t="s" s="4">
        <v>22</v>
      </c>
      <c r="F2" t="s" s="4">
        <v>23</v>
      </c>
      <c r="G2" t="s" s="4">
        <v>24</v>
      </c>
      <c r="H2" t="s" s="4">
        <v>25</v>
      </c>
      <c r="I2" t="s" s="4">
        <v>26</v>
      </c>
      <c r="J2" t="s" s="4">
        <v>27</v>
      </c>
      <c r="K2" t="s" s="4">
        <v>28</v>
      </c>
      <c r="L2" t="s" s="4">
        <v>29</v>
      </c>
      <c r="M2" t="s" s="4">
        <v>30</v>
      </c>
      <c r="N2" t="s" s="4">
        <v>31</v>
      </c>
    </row>
    <row r="3">
      <c r="A3" t="s" s="0">
        <v>32</v>
      </c>
      <c r="B3" t="s" s="0">
        <v>33</v>
      </c>
      <c r="C3" t="s" s="0">
        <v>34</v>
      </c>
      <c r="D3" t="s" s="0">
        <v>35</v>
      </c>
      <c r="E3" t="s" s="0">
        <v>36</v>
      </c>
      <c r="F3" t="s" s="0">
        <v>37</v>
      </c>
      <c r="G3" t="s" s="0">
        <v>38</v>
      </c>
      <c r="H3" t="s" s="0">
        <v>39</v>
      </c>
      <c r="I3" t="s" s="0">
        <v>40</v>
      </c>
      <c r="J3" t="s" s="0">
        <v>41</v>
      </c>
      <c r="K3" t="s" s="0">
        <v>42</v>
      </c>
      <c r="L3" t="s" s="0">
        <v>41</v>
      </c>
      <c r="M3" t="s" s="0">
        <v>41</v>
      </c>
      <c r="N3" t="s" s="0">
        <v>43</v>
      </c>
    </row>
    <row r="4">
      <c r="A4" t="s" s="0">
        <v>44</v>
      </c>
      <c r="B4" t="s" s="0">
        <v>33</v>
      </c>
      <c r="C4" t="s" s="0">
        <v>34</v>
      </c>
      <c r="D4" t="s" s="0">
        <v>35</v>
      </c>
      <c r="E4" t="s" s="0">
        <v>45</v>
      </c>
      <c r="F4" t="s" s="0">
        <v>46</v>
      </c>
      <c r="G4" t="s" s="0">
        <v>47</v>
      </c>
      <c r="H4" t="s" s="0">
        <v>48</v>
      </c>
      <c r="I4" t="s" s="0">
        <v>49</v>
      </c>
      <c r="J4" t="s" s="0">
        <v>41</v>
      </c>
      <c r="K4" t="s" s="0">
        <v>42</v>
      </c>
      <c r="L4" t="s" s="0">
        <v>41</v>
      </c>
      <c r="M4" t="s" s="0">
        <v>41</v>
      </c>
      <c r="N4" t="s" s="0">
        <v>43</v>
      </c>
    </row>
    <row r="5">
      <c r="A5" t="s" s="0">
        <v>50</v>
      </c>
      <c r="B5" t="s" s="0">
        <v>33</v>
      </c>
      <c r="C5" t="s" s="0">
        <v>34</v>
      </c>
      <c r="D5" t="s" s="0">
        <v>35</v>
      </c>
      <c r="E5" t="s" s="0">
        <v>45</v>
      </c>
      <c r="F5" t="s" s="0">
        <v>51</v>
      </c>
      <c r="G5" t="s" s="0">
        <v>52</v>
      </c>
      <c r="H5" t="s" s="0">
        <v>53</v>
      </c>
      <c r="I5" t="s" s="0">
        <v>54</v>
      </c>
      <c r="J5" t="s" s="0">
        <v>41</v>
      </c>
      <c r="K5" t="s" s="0">
        <v>42</v>
      </c>
      <c r="L5" t="s" s="0">
        <v>41</v>
      </c>
      <c r="M5" t="s" s="0">
        <v>41</v>
      </c>
      <c r="N5" t="s" s="0">
        <v>43</v>
      </c>
    </row>
    <row r="6">
      <c r="A6" t="s" s="0">
        <v>55</v>
      </c>
      <c r="B6" t="s" s="0">
        <v>33</v>
      </c>
      <c r="C6" t="s" s="0">
        <v>56</v>
      </c>
      <c r="D6" t="s" s="0">
        <v>35</v>
      </c>
      <c r="E6" t="s" s="0">
        <v>36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41</v>
      </c>
      <c r="K6" t="s" s="0">
        <v>42</v>
      </c>
      <c r="L6" t="s" s="0">
        <v>41</v>
      </c>
      <c r="M6" t="s" s="0">
        <v>41</v>
      </c>
      <c r="N6" t="s" s="0">
        <v>43</v>
      </c>
    </row>
    <row r="7">
      <c r="A7" t="s" s="0">
        <v>61</v>
      </c>
      <c r="B7" t="s" s="0">
        <v>33</v>
      </c>
      <c r="C7" t="s" s="0">
        <v>56</v>
      </c>
      <c r="D7" t="s" s="0">
        <v>35</v>
      </c>
      <c r="E7" t="s" s="0">
        <v>45</v>
      </c>
      <c r="F7" t="s" s="0">
        <v>62</v>
      </c>
      <c r="G7" t="s" s="0">
        <v>63</v>
      </c>
      <c r="H7" t="s" s="0">
        <v>64</v>
      </c>
      <c r="I7" t="s" s="0">
        <v>65</v>
      </c>
      <c r="J7" t="s" s="0">
        <v>41</v>
      </c>
      <c r="K7" t="s" s="0">
        <v>42</v>
      </c>
      <c r="L7" t="s" s="0">
        <v>41</v>
      </c>
      <c r="M7" t="s" s="0">
        <v>41</v>
      </c>
      <c r="N7" t="s" s="0">
        <v>43</v>
      </c>
    </row>
    <row r="8">
      <c r="A8" t="s" s="0">
        <v>66</v>
      </c>
      <c r="B8" t="s" s="0">
        <v>33</v>
      </c>
      <c r="C8" t="s" s="0">
        <v>67</v>
      </c>
      <c r="D8" t="s" s="0">
        <v>35</v>
      </c>
      <c r="E8" t="s" s="0">
        <v>68</v>
      </c>
      <c r="F8" t="s" s="0">
        <v>69</v>
      </c>
      <c r="G8" t="s" s="0">
        <v>70</v>
      </c>
      <c r="H8" t="s" s="0">
        <v>71</v>
      </c>
      <c r="I8" t="s" s="0">
        <v>72</v>
      </c>
      <c r="J8" t="s" s="0">
        <v>41</v>
      </c>
      <c r="K8" t="s" s="0">
        <v>42</v>
      </c>
      <c r="L8" t="s" s="0">
        <v>41</v>
      </c>
      <c r="M8" t="s" s="0">
        <v>41</v>
      </c>
      <c r="N8" t="s" s="0">
        <v>43</v>
      </c>
    </row>
    <row r="9">
      <c r="A9" t="s" s="0">
        <v>73</v>
      </c>
      <c r="B9" t="s" s="0">
        <v>33</v>
      </c>
      <c r="C9" t="s" s="0">
        <v>74</v>
      </c>
      <c r="D9" t="s" s="0">
        <v>35</v>
      </c>
      <c r="E9" t="s" s="0">
        <v>68</v>
      </c>
      <c r="F9" t="s" s="0">
        <v>75</v>
      </c>
      <c r="G9" t="s" s="0">
        <v>76</v>
      </c>
      <c r="H9" t="s" s="0">
        <v>77</v>
      </c>
      <c r="I9" t="s" s="0">
        <v>78</v>
      </c>
      <c r="J9" t="s" s="0">
        <v>41</v>
      </c>
      <c r="K9" t="s" s="0">
        <v>42</v>
      </c>
      <c r="L9" t="s" s="0">
        <v>41</v>
      </c>
      <c r="M9" t="s" s="0">
        <v>41</v>
      </c>
      <c r="N9" t="s" s="0">
        <v>43</v>
      </c>
    </row>
    <row r="10">
      <c r="A10" t="s" s="0">
        <v>79</v>
      </c>
      <c r="B10" t="s" s="0">
        <v>33</v>
      </c>
      <c r="C10" t="s" s="0">
        <v>80</v>
      </c>
      <c r="D10" t="s" s="0">
        <v>81</v>
      </c>
      <c r="E10" t="s" s="0">
        <v>36</v>
      </c>
      <c r="F10" t="s" s="0">
        <v>82</v>
      </c>
      <c r="G10" t="s" s="0">
        <v>83</v>
      </c>
      <c r="H10" t="s" s="0">
        <v>84</v>
      </c>
      <c r="I10" t="s" s="0">
        <v>85</v>
      </c>
      <c r="J10" t="s" s="0">
        <v>41</v>
      </c>
      <c r="K10" t="s" s="0">
        <v>42</v>
      </c>
      <c r="L10" t="s" s="0">
        <v>41</v>
      </c>
      <c r="M10" t="s" s="0">
        <v>41</v>
      </c>
      <c r="N10" t="s" s="0">
        <v>43</v>
      </c>
    </row>
    <row r="11">
      <c r="A11" t="s" s="0">
        <v>86</v>
      </c>
      <c r="B11" t="s" s="0">
        <v>87</v>
      </c>
      <c r="C11" t="s" s="0">
        <v>88</v>
      </c>
      <c r="D11" t="s" s="0">
        <v>35</v>
      </c>
      <c r="E11" t="s" s="0">
        <v>89</v>
      </c>
      <c r="F11" t="s" s="0">
        <v>90</v>
      </c>
      <c r="G11" t="s" s="0">
        <v>91</v>
      </c>
      <c r="H11" t="s" s="0">
        <v>92</v>
      </c>
      <c r="I11" t="s" s="0">
        <v>93</v>
      </c>
      <c r="J11" t="s" s="0">
        <v>41</v>
      </c>
      <c r="K11" t="s" s="0">
        <v>42</v>
      </c>
      <c r="L11" t="s" s="0">
        <v>41</v>
      </c>
      <c r="M11" t="s" s="0">
        <v>41</v>
      </c>
      <c r="N11" t="s" s="0">
        <v>43</v>
      </c>
    </row>
    <row r="12">
      <c r="A12" t="s" s="0">
        <v>94</v>
      </c>
      <c r="B12" t="s" s="0">
        <v>87</v>
      </c>
      <c r="C12" t="s" s="0">
        <v>95</v>
      </c>
      <c r="D12" t="s" s="0">
        <v>35</v>
      </c>
      <c r="E12" t="s" s="0">
        <v>89</v>
      </c>
      <c r="F12" t="s" s="0">
        <v>96</v>
      </c>
      <c r="G12" t="s" s="0">
        <v>97</v>
      </c>
      <c r="H12" t="s" s="0">
        <v>98</v>
      </c>
      <c r="I12" t="s" s="0">
        <v>99</v>
      </c>
      <c r="J12" t="s" s="0">
        <v>41</v>
      </c>
      <c r="K12" t="s" s="0">
        <v>42</v>
      </c>
      <c r="L12" t="s" s="0">
        <v>41</v>
      </c>
      <c r="M12" t="s" s="0">
        <v>41</v>
      </c>
      <c r="N12" t="s" s="0">
        <v>43</v>
      </c>
    </row>
    <row r="13">
      <c r="A13" t="s" s="0">
        <v>100</v>
      </c>
      <c r="B13" t="s" s="0">
        <v>87</v>
      </c>
      <c r="C13" t="s" s="0">
        <v>101</v>
      </c>
      <c r="D13" t="s" s="0">
        <v>35</v>
      </c>
      <c r="E13" t="s" s="0">
        <v>89</v>
      </c>
      <c r="F13" t="s" s="0">
        <v>102</v>
      </c>
      <c r="G13" t="s" s="0">
        <v>103</v>
      </c>
      <c r="H13" t="s" s="0">
        <v>104</v>
      </c>
      <c r="I13" t="s" s="0">
        <v>105</v>
      </c>
      <c r="J13" t="s" s="0">
        <v>41</v>
      </c>
      <c r="K13" t="s" s="0">
        <v>42</v>
      </c>
      <c r="L13" t="s" s="0">
        <v>41</v>
      </c>
      <c r="M13" t="s" s="0">
        <v>41</v>
      </c>
      <c r="N13" t="s" s="0">
        <v>43</v>
      </c>
    </row>
    <row r="14">
      <c r="A14" t="s" s="0">
        <v>106</v>
      </c>
      <c r="B14" t="s" s="0">
        <v>87</v>
      </c>
      <c r="C14" t="s" s="0">
        <v>107</v>
      </c>
      <c r="D14" t="s" s="0">
        <v>35</v>
      </c>
      <c r="E14" t="s" s="0">
        <v>89</v>
      </c>
      <c r="F14" t="s" s="0">
        <v>102</v>
      </c>
      <c r="G14" t="s" s="0">
        <v>108</v>
      </c>
      <c r="H14" t="s" s="0">
        <v>109</v>
      </c>
      <c r="I14" t="s" s="0">
        <v>110</v>
      </c>
      <c r="J14" t="s" s="0">
        <v>41</v>
      </c>
      <c r="K14" t="s" s="0">
        <v>42</v>
      </c>
      <c r="L14" t="s" s="0">
        <v>41</v>
      </c>
      <c r="M14" t="s" s="0">
        <v>41</v>
      </c>
      <c r="N14" t="s" s="0">
        <v>43</v>
      </c>
    </row>
    <row r="15">
      <c r="A15" t="s" s="0">
        <v>111</v>
      </c>
      <c r="B15" t="s" s="0">
        <v>87</v>
      </c>
      <c r="C15" t="s" s="0">
        <v>112</v>
      </c>
      <c r="D15" t="s" s="0">
        <v>35</v>
      </c>
      <c r="E15" t="s" s="0">
        <v>89</v>
      </c>
      <c r="F15" t="s" s="0">
        <v>113</v>
      </c>
      <c r="G15" t="s" s="0">
        <v>114</v>
      </c>
      <c r="H15" t="s" s="0">
        <v>115</v>
      </c>
      <c r="I15" t="s" s="0">
        <v>116</v>
      </c>
      <c r="J15" t="s" s="0">
        <v>41</v>
      </c>
      <c r="K15" t="s" s="0">
        <v>42</v>
      </c>
      <c r="L15" t="s" s="0">
        <v>41</v>
      </c>
      <c r="M15" t="s" s="0">
        <v>41</v>
      </c>
      <c r="N15" t="s" s="0">
        <v>43</v>
      </c>
    </row>
    <row r="16">
      <c r="A16" t="s" s="0">
        <v>117</v>
      </c>
      <c r="B16" t="s" s="0">
        <v>87</v>
      </c>
      <c r="C16" t="s" s="0">
        <v>118</v>
      </c>
      <c r="D16" t="s" s="0">
        <v>35</v>
      </c>
      <c r="E16" t="s" s="0">
        <v>89</v>
      </c>
      <c r="F16" t="s" s="0">
        <v>119</v>
      </c>
      <c r="G16" t="s" s="0">
        <v>120</v>
      </c>
      <c r="H16" t="s" s="0">
        <v>121</v>
      </c>
      <c r="I16" t="s" s="0">
        <v>122</v>
      </c>
      <c r="J16" t="s" s="0">
        <v>41</v>
      </c>
      <c r="K16" t="s" s="0">
        <v>42</v>
      </c>
      <c r="L16" t="s" s="0">
        <v>41</v>
      </c>
      <c r="M16" t="s" s="0">
        <v>41</v>
      </c>
      <c r="N16" t="s" s="0">
        <v>43</v>
      </c>
    </row>
    <row r="17">
      <c r="A17" t="s" s="0">
        <v>123</v>
      </c>
      <c r="B17" t="s" s="0">
        <v>87</v>
      </c>
      <c r="C17" t="s" s="0">
        <v>124</v>
      </c>
      <c r="D17" t="s" s="0">
        <v>81</v>
      </c>
      <c r="E17" t="s" s="0">
        <v>68</v>
      </c>
      <c r="F17" t="s" s="0">
        <v>125</v>
      </c>
      <c r="G17" t="s" s="0">
        <v>126</v>
      </c>
      <c r="H17" t="s" s="0">
        <v>127</v>
      </c>
      <c r="I17" t="s" s="0">
        <v>128</v>
      </c>
      <c r="J17" t="s" s="0">
        <v>41</v>
      </c>
      <c r="K17" t="s" s="0">
        <v>42</v>
      </c>
      <c r="L17" t="s" s="0">
        <v>41</v>
      </c>
      <c r="M17" t="s" s="0">
        <v>41</v>
      </c>
      <c r="N17" t="s" s="0">
        <v>43</v>
      </c>
    </row>
    <row r="18">
      <c r="A18" t="s" s="0">
        <v>129</v>
      </c>
      <c r="B18" t="s" s="0">
        <v>87</v>
      </c>
      <c r="C18" t="s" s="0">
        <v>130</v>
      </c>
      <c r="D18" t="s" s="0">
        <v>81</v>
      </c>
      <c r="E18" t="s" s="0">
        <v>131</v>
      </c>
      <c r="F18" t="s" s="0">
        <v>132</v>
      </c>
      <c r="G18" t="s" s="0">
        <v>133</v>
      </c>
      <c r="H18" t="s" s="0">
        <v>134</v>
      </c>
      <c r="I18" t="s" s="0">
        <v>135</v>
      </c>
      <c r="J18" t="s" s="0">
        <v>41</v>
      </c>
      <c r="K18" t="s" s="0">
        <v>42</v>
      </c>
      <c r="L18" t="s" s="0">
        <v>41</v>
      </c>
      <c r="M18" t="s" s="0">
        <v>41</v>
      </c>
      <c r="N18" t="s" s="0">
        <v>43</v>
      </c>
    </row>
    <row r="19">
      <c r="A19" t="s" s="0">
        <v>136</v>
      </c>
      <c r="B19" t="s" s="0">
        <v>137</v>
      </c>
      <c r="C19" t="s" s="0">
        <v>138</v>
      </c>
      <c r="D19" t="s" s="0">
        <v>35</v>
      </c>
      <c r="E19" t="s" s="0">
        <v>36</v>
      </c>
      <c r="F19" t="s" s="0">
        <v>139</v>
      </c>
      <c r="G19" t="s" s="0">
        <v>140</v>
      </c>
      <c r="H19" t="s" s="0">
        <v>141</v>
      </c>
      <c r="I19" t="s" s="0">
        <v>142</v>
      </c>
      <c r="J19" t="s" s="0">
        <v>41</v>
      </c>
      <c r="K19" t="s" s="0">
        <v>42</v>
      </c>
      <c r="L19" t="s" s="0">
        <v>41</v>
      </c>
      <c r="M19" t="s" s="0">
        <v>41</v>
      </c>
      <c r="N19" t="s" s="0">
        <v>43</v>
      </c>
    </row>
    <row r="20">
      <c r="A20" t="s" s="0">
        <v>143</v>
      </c>
      <c r="B20" t="s" s="0">
        <v>137</v>
      </c>
      <c r="C20" t="s" s="0">
        <v>144</v>
      </c>
      <c r="D20" t="s" s="0">
        <v>35</v>
      </c>
      <c r="E20" t="s" s="0">
        <v>145</v>
      </c>
      <c r="F20" t="s" s="0">
        <v>146</v>
      </c>
      <c r="G20" t="s" s="0">
        <v>147</v>
      </c>
      <c r="H20" t="s" s="0">
        <v>148</v>
      </c>
      <c r="I20" t="s" s="0">
        <v>149</v>
      </c>
      <c r="J20" t="s" s="0">
        <v>41</v>
      </c>
      <c r="K20" t="s" s="0">
        <v>42</v>
      </c>
      <c r="L20" t="s" s="0">
        <v>41</v>
      </c>
      <c r="M20" t="s" s="0">
        <v>41</v>
      </c>
      <c r="N20" t="s" s="0">
        <v>43</v>
      </c>
    </row>
    <row r="21">
      <c r="A21" t="s" s="0">
        <v>150</v>
      </c>
      <c r="B21" t="s" s="0">
        <v>137</v>
      </c>
      <c r="C21" t="s" s="0">
        <v>151</v>
      </c>
      <c r="D21" t="s" s="0">
        <v>35</v>
      </c>
      <c r="E21" t="s" s="0">
        <v>45</v>
      </c>
      <c r="F21" t="s" s="0">
        <v>152</v>
      </c>
      <c r="G21" t="s" s="0">
        <v>153</v>
      </c>
      <c r="H21" t="s" s="0">
        <v>154</v>
      </c>
      <c r="I21" t="s" s="0">
        <v>155</v>
      </c>
      <c r="J21" t="s" s="0">
        <v>41</v>
      </c>
      <c r="K21" t="s" s="0">
        <v>42</v>
      </c>
      <c r="L21" t="s" s="0">
        <v>41</v>
      </c>
      <c r="M21" t="s" s="0">
        <v>41</v>
      </c>
      <c r="N21" t="s" s="0">
        <v>43</v>
      </c>
    </row>
    <row r="22">
      <c r="A22" t="s" s="0">
        <v>156</v>
      </c>
      <c r="B22" t="s" s="0">
        <v>137</v>
      </c>
      <c r="C22" t="s" s="0">
        <v>157</v>
      </c>
      <c r="D22" t="s" s="0">
        <v>81</v>
      </c>
      <c r="E22" t="s" s="0">
        <v>36</v>
      </c>
      <c r="F22" t="s" s="0">
        <v>146</v>
      </c>
      <c r="G22" t="s" s="0">
        <v>158</v>
      </c>
      <c r="H22" t="s" s="0">
        <v>159</v>
      </c>
      <c r="I22" t="s" s="0">
        <v>160</v>
      </c>
      <c r="J22" t="s" s="0">
        <v>41</v>
      </c>
      <c r="K22" t="s" s="0">
        <v>42</v>
      </c>
      <c r="L22" t="s" s="0">
        <v>41</v>
      </c>
      <c r="M22" t="s" s="0">
        <v>41</v>
      </c>
      <c r="N22" t="s" s="0">
        <v>43</v>
      </c>
    </row>
    <row r="23">
      <c r="A23" t="s" s="0">
        <v>161</v>
      </c>
      <c r="B23" t="s" s="0">
        <v>137</v>
      </c>
      <c r="C23" t="s" s="0">
        <v>162</v>
      </c>
      <c r="D23" t="s" s="0">
        <v>81</v>
      </c>
      <c r="E23" t="s" s="0">
        <v>36</v>
      </c>
      <c r="F23" t="s" s="0">
        <v>146</v>
      </c>
      <c r="G23" t="s" s="0">
        <v>163</v>
      </c>
      <c r="H23" t="s" s="0">
        <v>164</v>
      </c>
      <c r="I23" t="s" s="0">
        <v>165</v>
      </c>
      <c r="J23" t="s" s="0">
        <v>41</v>
      </c>
      <c r="K23" t="s" s="0">
        <v>42</v>
      </c>
      <c r="L23" t="s" s="0">
        <v>41</v>
      </c>
      <c r="M23" t="s" s="0">
        <v>41</v>
      </c>
      <c r="N23" t="s" s="0">
        <v>43</v>
      </c>
    </row>
    <row r="24">
      <c r="A24" t="s" s="0">
        <v>166</v>
      </c>
      <c r="B24" t="s" s="0">
        <v>137</v>
      </c>
      <c r="C24" t="s" s="0">
        <v>167</v>
      </c>
      <c r="D24" t="s" s="0">
        <v>35</v>
      </c>
      <c r="E24" t="s" s="0">
        <v>36</v>
      </c>
      <c r="F24" t="s" s="0">
        <v>168</v>
      </c>
      <c r="G24" t="s" s="0">
        <v>169</v>
      </c>
      <c r="H24" t="s" s="0">
        <v>170</v>
      </c>
      <c r="I24" t="s" s="0">
        <v>171</v>
      </c>
      <c r="J24" t="s" s="0">
        <v>41</v>
      </c>
      <c r="K24" t="s" s="0">
        <v>42</v>
      </c>
      <c r="L24" t="s" s="0">
        <v>41</v>
      </c>
      <c r="M24" t="s" s="0">
        <v>41</v>
      </c>
      <c r="N24" t="s" s="0">
        <v>43</v>
      </c>
    </row>
    <row r="25">
      <c r="A25" t="s" s="0">
        <v>172</v>
      </c>
      <c r="B25" t="s" s="0">
        <v>137</v>
      </c>
      <c r="C25" t="s" s="0">
        <v>173</v>
      </c>
      <c r="D25" t="s" s="0">
        <v>35</v>
      </c>
      <c r="E25" t="s" s="0">
        <v>45</v>
      </c>
      <c r="F25" t="s" s="0">
        <v>174</v>
      </c>
      <c r="G25" t="s" s="0">
        <v>175</v>
      </c>
      <c r="H25" t="s" s="0">
        <v>176</v>
      </c>
      <c r="I25" t="s" s="0">
        <v>177</v>
      </c>
      <c r="J25" t="s" s="0">
        <v>41</v>
      </c>
      <c r="K25" t="s" s="0">
        <v>42</v>
      </c>
      <c r="L25" t="s" s="0">
        <v>41</v>
      </c>
      <c r="M25" t="s" s="0">
        <v>41</v>
      </c>
      <c r="N25" t="s" s="0">
        <v>43</v>
      </c>
    </row>
    <row r="26">
      <c r="A26" t="s" s="0">
        <v>178</v>
      </c>
      <c r="B26" t="s" s="0">
        <v>137</v>
      </c>
      <c r="C26" t="s" s="0">
        <v>179</v>
      </c>
      <c r="D26" t="s" s="0">
        <v>35</v>
      </c>
      <c r="E26" t="s" s="0">
        <v>180</v>
      </c>
      <c r="F26" t="s" s="0">
        <v>181</v>
      </c>
      <c r="G26" t="s" s="0">
        <v>182</v>
      </c>
      <c r="H26" t="s" s="0">
        <v>183</v>
      </c>
      <c r="I26" t="s" s="0">
        <v>184</v>
      </c>
      <c r="J26" t="s" s="0">
        <v>41</v>
      </c>
      <c r="K26" t="s" s="0">
        <v>42</v>
      </c>
      <c r="L26" t="s" s="0">
        <v>41</v>
      </c>
      <c r="M26" t="s" s="0">
        <v>41</v>
      </c>
      <c r="N26" t="s" s="0">
        <v>43</v>
      </c>
    </row>
    <row r="27">
      <c r="A27" t="s" s="0">
        <v>185</v>
      </c>
      <c r="B27" t="s" s="0">
        <v>186</v>
      </c>
      <c r="C27" t="s" s="0">
        <v>187</v>
      </c>
      <c r="D27" t="s" s="0">
        <v>35</v>
      </c>
      <c r="E27" t="s" s="0">
        <v>36</v>
      </c>
      <c r="F27" t="s" s="0">
        <v>188</v>
      </c>
      <c r="G27" t="s" s="0">
        <v>189</v>
      </c>
      <c r="H27" t="s" s="0">
        <v>190</v>
      </c>
      <c r="I27" t="s" s="0">
        <v>191</v>
      </c>
      <c r="J27" t="s" s="0">
        <v>41</v>
      </c>
      <c r="K27" t="s" s="0">
        <v>42</v>
      </c>
      <c r="L27" t="s" s="0">
        <v>41</v>
      </c>
      <c r="M27" t="s" s="0">
        <v>41</v>
      </c>
      <c r="N27" t="s" s="0">
        <v>43</v>
      </c>
    </row>
    <row r="28">
      <c r="A28" t="s" s="0">
        <v>192</v>
      </c>
      <c r="B28" t="s" s="0">
        <v>186</v>
      </c>
      <c r="C28" t="s" s="0">
        <v>193</v>
      </c>
      <c r="D28" t="s" s="0">
        <v>81</v>
      </c>
      <c r="E28" t="s" s="0">
        <v>45</v>
      </c>
      <c r="F28" t="s" s="0">
        <v>194</v>
      </c>
      <c r="G28" t="s" s="0">
        <v>195</v>
      </c>
      <c r="H28" t="s" s="0">
        <v>196</v>
      </c>
      <c r="I28" t="s" s="0">
        <v>197</v>
      </c>
      <c r="J28" t="s" s="0">
        <v>41</v>
      </c>
      <c r="K28" t="s" s="0">
        <v>42</v>
      </c>
      <c r="L28" t="s" s="0">
        <v>41</v>
      </c>
      <c r="M28" t="s" s="0">
        <v>41</v>
      </c>
      <c r="N28" t="s" s="0">
        <v>43</v>
      </c>
    </row>
    <row r="29">
      <c r="A29" t="s" s="0">
        <v>198</v>
      </c>
      <c r="B29" t="s" s="0">
        <v>186</v>
      </c>
      <c r="C29" t="s" s="0">
        <v>199</v>
      </c>
      <c r="D29" t="s" s="0">
        <v>35</v>
      </c>
      <c r="E29" t="s" s="0">
        <v>180</v>
      </c>
      <c r="F29" t="s" s="0">
        <v>200</v>
      </c>
      <c r="G29" t="s" s="0">
        <v>201</v>
      </c>
      <c r="H29" t="s" s="0">
        <v>202</v>
      </c>
      <c r="I29" t="s" s="0">
        <v>203</v>
      </c>
      <c r="J29" t="s" s="0">
        <v>41</v>
      </c>
      <c r="K29" t="s" s="0">
        <v>42</v>
      </c>
      <c r="L29" t="s" s="0">
        <v>41</v>
      </c>
      <c r="M29" t="s" s="0">
        <v>41</v>
      </c>
      <c r="N29" t="s" s="0">
        <v>43</v>
      </c>
    </row>
    <row r="30">
      <c r="A30" t="s" s="0">
        <v>204</v>
      </c>
      <c r="B30" t="s" s="0">
        <v>186</v>
      </c>
      <c r="C30" t="s" s="0">
        <v>205</v>
      </c>
      <c r="D30" t="s" s="0">
        <v>35</v>
      </c>
      <c r="E30" t="s" s="0">
        <v>206</v>
      </c>
      <c r="F30" t="s" s="0">
        <v>207</v>
      </c>
      <c r="G30" t="s" s="0">
        <v>208</v>
      </c>
      <c r="H30" t="s" s="0">
        <v>209</v>
      </c>
      <c r="I30" t="s" s="0">
        <v>210</v>
      </c>
      <c r="J30" t="s" s="0">
        <v>41</v>
      </c>
      <c r="K30" t="s" s="0">
        <v>42</v>
      </c>
      <c r="L30" t="s" s="0">
        <v>41</v>
      </c>
      <c r="M30" t="s" s="0">
        <v>41</v>
      </c>
      <c r="N30" t="s" s="0">
        <v>43</v>
      </c>
    </row>
    <row r="31">
      <c r="A31" t="s" s="0">
        <v>211</v>
      </c>
      <c r="B31" t="s" s="0">
        <v>186</v>
      </c>
      <c r="C31" t="s" s="0">
        <v>212</v>
      </c>
      <c r="D31" t="s" s="0">
        <v>81</v>
      </c>
      <c r="E31" t="s" s="0">
        <v>213</v>
      </c>
      <c r="F31" t="s" s="0">
        <v>188</v>
      </c>
      <c r="G31" t="s" s="0">
        <v>214</v>
      </c>
      <c r="H31" t="s" s="0">
        <v>215</v>
      </c>
      <c r="I31" t="s" s="0">
        <v>216</v>
      </c>
      <c r="J31" t="s" s="0">
        <v>41</v>
      </c>
      <c r="K31" t="s" s="0">
        <v>42</v>
      </c>
      <c r="L31" t="s" s="0">
        <v>41</v>
      </c>
      <c r="M31" t="s" s="0">
        <v>41</v>
      </c>
      <c r="N31" t="s" s="0">
        <v>43</v>
      </c>
    </row>
    <row r="32">
      <c r="A32" t="s" s="0">
        <v>217</v>
      </c>
      <c r="B32" t="s" s="0">
        <v>218</v>
      </c>
      <c r="C32" t="s" s="0">
        <v>219</v>
      </c>
      <c r="D32" t="s" s="0">
        <v>35</v>
      </c>
      <c r="E32" t="s" s="0">
        <v>36</v>
      </c>
      <c r="F32" t="s" s="0">
        <v>220</v>
      </c>
      <c r="G32" t="s" s="0">
        <v>221</v>
      </c>
      <c r="H32" t="s" s="0">
        <v>222</v>
      </c>
      <c r="I32" t="s" s="0">
        <v>223</v>
      </c>
      <c r="J32" t="s" s="0">
        <v>41</v>
      </c>
      <c r="K32" t="s" s="0">
        <v>42</v>
      </c>
      <c r="L32" t="s" s="0">
        <v>41</v>
      </c>
      <c r="M32" t="s" s="0">
        <v>41</v>
      </c>
      <c r="N32" t="s" s="0">
        <v>43</v>
      </c>
    </row>
    <row r="33">
      <c r="A33" t="s" s="0">
        <v>224</v>
      </c>
      <c r="B33" t="s" s="0">
        <v>218</v>
      </c>
      <c r="C33" t="s" s="0">
        <v>225</v>
      </c>
      <c r="D33" t="s" s="0">
        <v>35</v>
      </c>
      <c r="E33" t="s" s="0">
        <v>36</v>
      </c>
      <c r="F33" t="s" s="0">
        <v>226</v>
      </c>
      <c r="G33" t="s" s="0">
        <v>227</v>
      </c>
      <c r="H33" t="s" s="0">
        <v>228</v>
      </c>
      <c r="I33" t="s" s="0">
        <v>229</v>
      </c>
      <c r="J33" t="s" s="0">
        <v>41</v>
      </c>
      <c r="K33" t="s" s="0">
        <v>42</v>
      </c>
      <c r="L33" t="s" s="0">
        <v>41</v>
      </c>
      <c r="M33" t="s" s="0">
        <v>41</v>
      </c>
      <c r="N33" t="s" s="0">
        <v>43</v>
      </c>
    </row>
    <row r="34">
      <c r="A34" t="s" s="0">
        <v>230</v>
      </c>
      <c r="B34" t="s" s="0">
        <v>218</v>
      </c>
      <c r="C34" t="s" s="0">
        <v>231</v>
      </c>
      <c r="D34" t="s" s="0">
        <v>35</v>
      </c>
      <c r="E34" t="s" s="0">
        <v>45</v>
      </c>
      <c r="F34" t="s" s="0">
        <v>232</v>
      </c>
      <c r="G34" t="s" s="0">
        <v>233</v>
      </c>
      <c r="H34" t="s" s="0">
        <v>234</v>
      </c>
      <c r="I34" t="s" s="0">
        <v>235</v>
      </c>
      <c r="J34" t="s" s="0">
        <v>41</v>
      </c>
      <c r="K34" t="s" s="0">
        <v>42</v>
      </c>
      <c r="L34" t="s" s="0">
        <v>41</v>
      </c>
      <c r="M34" t="s" s="0">
        <v>41</v>
      </c>
      <c r="N34" t="s" s="0">
        <v>43</v>
      </c>
    </row>
    <row r="35">
      <c r="A35" t="s" s="0">
        <v>236</v>
      </c>
      <c r="B35" t="s" s="0">
        <v>218</v>
      </c>
      <c r="C35" t="s" s="0">
        <v>237</v>
      </c>
      <c r="D35" t="s" s="0">
        <v>35</v>
      </c>
      <c r="E35" t="s" s="0">
        <v>45</v>
      </c>
      <c r="F35" t="s" s="0">
        <v>238</v>
      </c>
      <c r="G35" t="s" s="0">
        <v>239</v>
      </c>
      <c r="H35" t="s" s="0">
        <v>240</v>
      </c>
      <c r="I35" t="s" s="0">
        <v>241</v>
      </c>
      <c r="J35" t="s" s="0">
        <v>41</v>
      </c>
      <c r="K35" t="s" s="0">
        <v>42</v>
      </c>
      <c r="L35" t="s" s="0">
        <v>41</v>
      </c>
      <c r="M35" t="s" s="0">
        <v>41</v>
      </c>
      <c r="N35" t="s" s="0">
        <v>43</v>
      </c>
    </row>
    <row r="36">
      <c r="A36" t="s" s="0">
        <v>242</v>
      </c>
      <c r="B36" t="s" s="0">
        <v>218</v>
      </c>
      <c r="C36" t="s" s="0">
        <v>243</v>
      </c>
      <c r="D36" t="s" s="0">
        <v>35</v>
      </c>
      <c r="E36" t="s" s="0">
        <v>45</v>
      </c>
      <c r="F36" t="s" s="0">
        <v>244</v>
      </c>
      <c r="G36" t="s" s="0">
        <v>245</v>
      </c>
      <c r="H36" t="s" s="0">
        <v>246</v>
      </c>
      <c r="I36" t="s" s="0">
        <v>247</v>
      </c>
      <c r="J36" t="s" s="0">
        <v>41</v>
      </c>
      <c r="K36" t="s" s="0">
        <v>42</v>
      </c>
      <c r="L36" t="s" s="0">
        <v>41</v>
      </c>
      <c r="M36" t="s" s="0">
        <v>41</v>
      </c>
      <c r="N36" t="s" s="0">
        <v>43</v>
      </c>
    </row>
    <row r="37">
      <c r="A37" t="s" s="0">
        <v>248</v>
      </c>
      <c r="B37" t="s" s="0">
        <v>218</v>
      </c>
      <c r="C37" t="s" s="0">
        <v>249</v>
      </c>
      <c r="D37" t="s" s="0">
        <v>35</v>
      </c>
      <c r="E37" t="s" s="0">
        <v>45</v>
      </c>
      <c r="F37" t="s" s="0">
        <v>250</v>
      </c>
      <c r="G37" t="s" s="0">
        <v>251</v>
      </c>
      <c r="H37" t="s" s="0">
        <v>252</v>
      </c>
      <c r="I37" t="s" s="0">
        <v>253</v>
      </c>
      <c r="J37" t="s" s="0">
        <v>41</v>
      </c>
      <c r="K37" t="s" s="0">
        <v>42</v>
      </c>
      <c r="L37" t="s" s="0">
        <v>41</v>
      </c>
      <c r="M37" t="s" s="0">
        <v>41</v>
      </c>
      <c r="N37" t="s" s="0">
        <v>43</v>
      </c>
    </row>
    <row r="38">
      <c r="A38" t="s" s="0">
        <v>254</v>
      </c>
      <c r="B38" t="s" s="0">
        <v>218</v>
      </c>
      <c r="C38" t="s" s="0">
        <v>255</v>
      </c>
      <c r="D38" t="s" s="0">
        <v>35</v>
      </c>
      <c r="E38" t="s" s="0">
        <v>36</v>
      </c>
      <c r="F38" t="s" s="0">
        <v>256</v>
      </c>
      <c r="G38" t="s" s="0">
        <v>257</v>
      </c>
      <c r="H38" t="s" s="0">
        <v>121</v>
      </c>
      <c r="I38" t="s" s="0">
        <v>258</v>
      </c>
      <c r="J38" t="s" s="0">
        <v>41</v>
      </c>
      <c r="K38" t="s" s="0">
        <v>42</v>
      </c>
      <c r="L38" t="s" s="0">
        <v>41</v>
      </c>
      <c r="M38" t="s" s="0">
        <v>41</v>
      </c>
      <c r="N38" t="s" s="0">
        <v>43</v>
      </c>
    </row>
    <row r="39">
      <c r="A39" t="s" s="0">
        <v>259</v>
      </c>
      <c r="B39" t="s" s="0">
        <v>218</v>
      </c>
      <c r="C39" t="s" s="0">
        <v>260</v>
      </c>
      <c r="D39" t="s" s="0">
        <v>35</v>
      </c>
      <c r="E39" t="s" s="0">
        <v>36</v>
      </c>
      <c r="F39" t="s" s="0">
        <v>261</v>
      </c>
      <c r="G39" t="s" s="0">
        <v>262</v>
      </c>
      <c r="H39" t="s" s="0">
        <v>263</v>
      </c>
      <c r="I39" t="s" s="0">
        <v>264</v>
      </c>
      <c r="J39" t="s" s="0">
        <v>41</v>
      </c>
      <c r="K39" t="s" s="0">
        <v>42</v>
      </c>
      <c r="L39" t="s" s="0">
        <v>41</v>
      </c>
      <c r="M39" t="s" s="0">
        <v>41</v>
      </c>
      <c r="N39" t="s" s="0">
        <v>43</v>
      </c>
    </row>
    <row r="40">
      <c r="A40" t="s" s="0">
        <v>265</v>
      </c>
      <c r="B40" t="s" s="0">
        <v>218</v>
      </c>
      <c r="C40" t="s" s="0">
        <v>266</v>
      </c>
      <c r="D40" t="s" s="0">
        <v>35</v>
      </c>
      <c r="E40" t="s" s="0">
        <v>36</v>
      </c>
      <c r="F40" t="s" s="0">
        <v>267</v>
      </c>
      <c r="G40" t="s" s="0">
        <v>268</v>
      </c>
      <c r="H40" t="s" s="0">
        <v>269</v>
      </c>
      <c r="I40" t="s" s="0">
        <v>270</v>
      </c>
      <c r="J40" t="s" s="0">
        <v>41</v>
      </c>
      <c r="K40" t="s" s="0">
        <v>42</v>
      </c>
      <c r="L40" t="s" s="0">
        <v>41</v>
      </c>
      <c r="M40" t="s" s="0">
        <v>41</v>
      </c>
      <c r="N40" t="s" s="0">
        <v>43</v>
      </c>
    </row>
    <row r="41">
      <c r="A41" t="s" s="0">
        <v>271</v>
      </c>
      <c r="B41" t="s" s="0">
        <v>218</v>
      </c>
      <c r="C41" t="s" s="0">
        <v>272</v>
      </c>
      <c r="D41" t="s" s="0">
        <v>35</v>
      </c>
      <c r="E41" t="s" s="0">
        <v>180</v>
      </c>
      <c r="F41" t="s" s="0">
        <v>273</v>
      </c>
      <c r="G41" t="s" s="0">
        <v>274</v>
      </c>
      <c r="H41" t="s" s="0">
        <v>275</v>
      </c>
      <c r="I41" t="s" s="0">
        <v>276</v>
      </c>
      <c r="J41" t="s" s="0">
        <v>41</v>
      </c>
      <c r="K41" t="s" s="0">
        <v>42</v>
      </c>
      <c r="L41" t="s" s="0">
        <v>41</v>
      </c>
      <c r="M41" t="s" s="0">
        <v>41</v>
      </c>
      <c r="N41" t="s" s="0">
        <v>43</v>
      </c>
    </row>
    <row r="42">
      <c r="A42" t="s" s="0">
        <v>277</v>
      </c>
      <c r="B42" t="s" s="0">
        <v>218</v>
      </c>
      <c r="C42" t="s" s="0">
        <v>278</v>
      </c>
      <c r="D42" t="s" s="0">
        <v>81</v>
      </c>
      <c r="E42" t="s" s="0">
        <v>36</v>
      </c>
      <c r="F42" t="s" s="0">
        <v>279</v>
      </c>
      <c r="G42" t="s" s="0">
        <v>280</v>
      </c>
      <c r="H42" t="s" s="0">
        <v>281</v>
      </c>
      <c r="I42" t="s" s="0">
        <v>282</v>
      </c>
      <c r="J42" t="s" s="0">
        <v>41</v>
      </c>
      <c r="K42" t="s" s="0">
        <v>42</v>
      </c>
      <c r="L42" t="s" s="0">
        <v>41</v>
      </c>
      <c r="M42" t="s" s="0">
        <v>41</v>
      </c>
      <c r="N42" t="s" s="0">
        <v>43</v>
      </c>
    </row>
    <row r="43">
      <c r="A43" t="s" s="0">
        <v>283</v>
      </c>
      <c r="B43" t="s" s="0">
        <v>218</v>
      </c>
      <c r="C43" t="s" s="0">
        <v>284</v>
      </c>
      <c r="D43" t="s" s="0">
        <v>81</v>
      </c>
      <c r="E43" t="s" s="0">
        <v>285</v>
      </c>
      <c r="F43" t="s" s="0">
        <v>286</v>
      </c>
      <c r="G43" t="s" s="0">
        <v>287</v>
      </c>
      <c r="H43" t="s" s="0">
        <v>288</v>
      </c>
      <c r="I43" t="s" s="0">
        <v>289</v>
      </c>
      <c r="J43" t="s" s="0">
        <v>41</v>
      </c>
      <c r="K43" t="s" s="0">
        <v>42</v>
      </c>
      <c r="L43" t="s" s="0">
        <v>41</v>
      </c>
      <c r="M43" t="s" s="0">
        <v>41</v>
      </c>
      <c r="N43" t="s" s="0">
        <v>43</v>
      </c>
    </row>
    <row r="44">
      <c r="A44" t="s" s="0">
        <v>290</v>
      </c>
      <c r="B44" t="s" s="0">
        <v>291</v>
      </c>
      <c r="C44" t="s" s="0">
        <v>292</v>
      </c>
      <c r="D44" t="s" s="0">
        <v>35</v>
      </c>
      <c r="E44" t="s" s="0">
        <v>36</v>
      </c>
      <c r="F44" t="s" s="0">
        <v>293</v>
      </c>
      <c r="G44" t="s" s="0">
        <v>294</v>
      </c>
      <c r="H44" t="s" s="0">
        <v>295</v>
      </c>
      <c r="I44" t="s" s="0">
        <v>296</v>
      </c>
      <c r="J44" t="s" s="0">
        <v>41</v>
      </c>
      <c r="K44" t="s" s="0">
        <v>42</v>
      </c>
      <c r="L44" t="s" s="0">
        <v>41</v>
      </c>
      <c r="M44" t="s" s="0">
        <v>41</v>
      </c>
      <c r="N44" t="s" s="0">
        <v>43</v>
      </c>
    </row>
    <row r="45">
      <c r="A45" t="s" s="0">
        <v>297</v>
      </c>
      <c r="B45" t="s" s="0">
        <v>291</v>
      </c>
      <c r="C45" t="s" s="0">
        <v>298</v>
      </c>
      <c r="D45" t="s" s="0">
        <v>35</v>
      </c>
      <c r="E45" t="s" s="0">
        <v>299</v>
      </c>
      <c r="F45" t="s" s="0">
        <v>300</v>
      </c>
      <c r="G45" t="s" s="0">
        <v>301</v>
      </c>
      <c r="H45" t="s" s="0">
        <v>302</v>
      </c>
      <c r="I45" t="s" s="0">
        <v>303</v>
      </c>
      <c r="J45" t="s" s="0">
        <v>41</v>
      </c>
      <c r="K45" t="s" s="0">
        <v>42</v>
      </c>
      <c r="L45" t="s" s="0">
        <v>41</v>
      </c>
      <c r="M45" t="s" s="0">
        <v>41</v>
      </c>
      <c r="N45" t="s" s="0">
        <v>43</v>
      </c>
    </row>
    <row r="46">
      <c r="A46" t="s" s="0">
        <v>304</v>
      </c>
      <c r="B46" t="s" s="0">
        <v>291</v>
      </c>
      <c r="C46" t="s" s="0">
        <v>305</v>
      </c>
      <c r="D46" t="s" s="0">
        <v>35</v>
      </c>
      <c r="E46" t="s" s="0">
        <v>36</v>
      </c>
      <c r="F46" t="s" s="0">
        <v>306</v>
      </c>
      <c r="G46" t="s" s="0">
        <v>307</v>
      </c>
      <c r="H46" t="s" s="0">
        <v>308</v>
      </c>
      <c r="I46" t="s" s="0">
        <v>309</v>
      </c>
      <c r="J46" t="s" s="0">
        <v>41</v>
      </c>
      <c r="K46" t="s" s="0">
        <v>42</v>
      </c>
      <c r="L46" t="s" s="0">
        <v>41</v>
      </c>
      <c r="M46" t="s" s="0">
        <v>41</v>
      </c>
      <c r="N46" t="s" s="0">
        <v>43</v>
      </c>
    </row>
    <row r="47">
      <c r="A47" t="s" s="0">
        <v>310</v>
      </c>
      <c r="B47" t="s" s="0">
        <v>291</v>
      </c>
      <c r="C47" t="s" s="0">
        <v>311</v>
      </c>
      <c r="D47" t="s" s="0">
        <v>35</v>
      </c>
      <c r="E47" t="s" s="0">
        <v>45</v>
      </c>
      <c r="F47" t="s" s="0">
        <v>312</v>
      </c>
      <c r="G47" t="s" s="0">
        <v>313</v>
      </c>
      <c r="H47" t="s" s="0">
        <v>314</v>
      </c>
      <c r="I47" t="s" s="0">
        <v>315</v>
      </c>
      <c r="J47" t="s" s="0">
        <v>41</v>
      </c>
      <c r="K47" t="s" s="0">
        <v>42</v>
      </c>
      <c r="L47" t="s" s="0">
        <v>41</v>
      </c>
      <c r="M47" t="s" s="0">
        <v>41</v>
      </c>
      <c r="N47" t="s" s="0">
        <v>43</v>
      </c>
    </row>
    <row r="48">
      <c r="A48" t="s" s="0">
        <v>316</v>
      </c>
      <c r="B48" t="s" s="0">
        <v>291</v>
      </c>
      <c r="C48" t="s" s="0">
        <v>317</v>
      </c>
      <c r="D48" t="s" s="0">
        <v>35</v>
      </c>
      <c r="E48" t="s" s="0">
        <v>180</v>
      </c>
      <c r="F48" t="s" s="0">
        <v>318</v>
      </c>
      <c r="G48" t="s" s="0">
        <v>319</v>
      </c>
      <c r="H48" t="s" s="0">
        <v>320</v>
      </c>
      <c r="I48" t="s" s="0">
        <v>321</v>
      </c>
      <c r="J48" t="s" s="0">
        <v>41</v>
      </c>
      <c r="K48" t="s" s="0">
        <v>42</v>
      </c>
      <c r="L48" t="s" s="0">
        <v>41</v>
      </c>
      <c r="M48" t="s" s="0">
        <v>41</v>
      </c>
      <c r="N48" t="s" s="0">
        <v>43</v>
      </c>
    </row>
    <row r="49">
      <c r="A49" t="s" s="0">
        <v>322</v>
      </c>
      <c r="B49" t="s" s="0">
        <v>291</v>
      </c>
      <c r="C49" t="s" s="0">
        <v>323</v>
      </c>
      <c r="D49" t="s" s="0">
        <v>81</v>
      </c>
      <c r="E49" t="s" s="0">
        <v>324</v>
      </c>
      <c r="F49" t="s" s="0">
        <v>325</v>
      </c>
      <c r="G49" t="s" s="0">
        <v>326</v>
      </c>
      <c r="H49" t="s" s="0">
        <v>327</v>
      </c>
      <c r="I49" t="s" s="0">
        <v>328</v>
      </c>
      <c r="J49" t="s" s="0">
        <v>41</v>
      </c>
      <c r="K49" t="s" s="0">
        <v>42</v>
      </c>
      <c r="L49" t="s" s="0">
        <v>41</v>
      </c>
      <c r="M49" t="s" s="0">
        <v>41</v>
      </c>
      <c r="N49" t="s" s="0">
        <v>43</v>
      </c>
    </row>
    <row r="50">
      <c r="A50" t="s" s="0">
        <v>329</v>
      </c>
      <c r="B50" t="s" s="0">
        <v>330</v>
      </c>
      <c r="C50" t="s" s="0">
        <v>331</v>
      </c>
      <c r="D50" t="s" s="0">
        <v>35</v>
      </c>
      <c r="E50" t="s" s="0">
        <v>36</v>
      </c>
      <c r="F50" t="s" s="0">
        <v>332</v>
      </c>
      <c r="G50" t="s" s="0">
        <v>333</v>
      </c>
      <c r="H50" t="s" s="0">
        <v>334</v>
      </c>
      <c r="I50" t="s" s="0">
        <v>335</v>
      </c>
      <c r="J50" t="s" s="0">
        <v>41</v>
      </c>
      <c r="K50" t="s" s="0">
        <v>42</v>
      </c>
      <c r="L50" t="s" s="0">
        <v>41</v>
      </c>
      <c r="M50" t="s" s="0">
        <v>41</v>
      </c>
      <c r="N50" t="s" s="0">
        <v>43</v>
      </c>
    </row>
    <row r="51">
      <c r="A51" t="s" s="0">
        <v>336</v>
      </c>
      <c r="B51" t="s" s="0">
        <v>330</v>
      </c>
      <c r="C51" t="s" s="0">
        <v>337</v>
      </c>
      <c r="D51" t="s" s="0">
        <v>35</v>
      </c>
      <c r="E51" t="s" s="0">
        <v>213</v>
      </c>
      <c r="F51" t="s" s="0">
        <v>338</v>
      </c>
      <c r="G51" t="s" s="0">
        <v>339</v>
      </c>
      <c r="H51" t="s" s="0">
        <v>340</v>
      </c>
      <c r="I51" t="s" s="0">
        <v>341</v>
      </c>
      <c r="J51" t="s" s="0">
        <v>41</v>
      </c>
      <c r="K51" t="s" s="0">
        <v>42</v>
      </c>
      <c r="L51" t="s" s="0">
        <v>41</v>
      </c>
      <c r="M51" t="s" s="0">
        <v>41</v>
      </c>
      <c r="N51" t="s" s="0">
        <v>43</v>
      </c>
    </row>
    <row r="52">
      <c r="A52" t="s" s="0">
        <v>342</v>
      </c>
      <c r="B52" t="s" s="0">
        <v>330</v>
      </c>
      <c r="C52" t="s" s="0">
        <v>343</v>
      </c>
      <c r="D52" t="s" s="0">
        <v>35</v>
      </c>
      <c r="E52" t="s" s="0">
        <v>36</v>
      </c>
      <c r="F52" t="s" s="0">
        <v>344</v>
      </c>
      <c r="G52" t="s" s="0">
        <v>345</v>
      </c>
      <c r="H52" t="s" s="0">
        <v>269</v>
      </c>
      <c r="I52" t="s" s="0">
        <v>346</v>
      </c>
      <c r="J52" t="s" s="0">
        <v>41</v>
      </c>
      <c r="K52" t="s" s="0">
        <v>42</v>
      </c>
      <c r="L52" t="s" s="0">
        <v>41</v>
      </c>
      <c r="M52" t="s" s="0">
        <v>41</v>
      </c>
      <c r="N52" t="s" s="0">
        <v>43</v>
      </c>
    </row>
    <row r="53">
      <c r="A53" t="s" s="0">
        <v>347</v>
      </c>
      <c r="B53" t="s" s="0">
        <v>330</v>
      </c>
      <c r="C53" t="s" s="0">
        <v>348</v>
      </c>
      <c r="D53" t="s" s="0">
        <v>35</v>
      </c>
      <c r="E53" t="s" s="0">
        <v>36</v>
      </c>
      <c r="F53" t="s" s="0">
        <v>349</v>
      </c>
      <c r="G53" t="s" s="0">
        <v>350</v>
      </c>
      <c r="H53" t="s" s="0">
        <v>351</v>
      </c>
      <c r="I53" t="s" s="0">
        <v>352</v>
      </c>
      <c r="J53" t="s" s="0">
        <v>41</v>
      </c>
      <c r="K53" t="s" s="0">
        <v>42</v>
      </c>
      <c r="L53" t="s" s="0">
        <v>41</v>
      </c>
      <c r="M53" t="s" s="0">
        <v>41</v>
      </c>
      <c r="N53" t="s" s="0">
        <v>43</v>
      </c>
    </row>
    <row r="54">
      <c r="A54" t="s" s="0">
        <v>353</v>
      </c>
      <c r="B54" t="s" s="0">
        <v>330</v>
      </c>
      <c r="C54" t="s" s="0">
        <v>354</v>
      </c>
      <c r="D54" t="s" s="0">
        <v>81</v>
      </c>
      <c r="E54" t="s" s="0">
        <v>36</v>
      </c>
      <c r="F54" t="s" s="0">
        <v>355</v>
      </c>
      <c r="G54" t="s" s="0">
        <v>356</v>
      </c>
      <c r="H54" t="s" s="0">
        <v>357</v>
      </c>
      <c r="I54" t="s" s="0">
        <v>358</v>
      </c>
      <c r="J54" t="s" s="0">
        <v>41</v>
      </c>
      <c r="K54" t="s" s="0">
        <v>42</v>
      </c>
      <c r="L54" t="s" s="0">
        <v>41</v>
      </c>
      <c r="M54" t="s" s="0">
        <v>41</v>
      </c>
      <c r="N54" t="s" s="0">
        <v>43</v>
      </c>
    </row>
    <row r="55">
      <c r="A55" t="s" s="0">
        <v>359</v>
      </c>
      <c r="B55" t="s" s="0">
        <v>330</v>
      </c>
      <c r="C55" t="s" s="0">
        <v>360</v>
      </c>
      <c r="D55" t="s" s="0">
        <v>35</v>
      </c>
      <c r="E55" t="s" s="0">
        <v>36</v>
      </c>
      <c r="F55" t="s" s="0">
        <v>361</v>
      </c>
      <c r="G55" t="s" s="0">
        <v>362</v>
      </c>
      <c r="H55" t="s" s="0">
        <v>269</v>
      </c>
      <c r="I55" t="s" s="0">
        <v>363</v>
      </c>
      <c r="J55" t="s" s="0">
        <v>41</v>
      </c>
      <c r="K55" t="s" s="0">
        <v>42</v>
      </c>
      <c r="L55" t="s" s="0">
        <v>41</v>
      </c>
      <c r="M55" t="s" s="0">
        <v>41</v>
      </c>
      <c r="N55" t="s" s="0">
        <v>43</v>
      </c>
    </row>
    <row r="56">
      <c r="A56" t="s" s="0">
        <v>364</v>
      </c>
      <c r="B56" t="s" s="0">
        <v>330</v>
      </c>
      <c r="C56" t="s" s="0">
        <v>365</v>
      </c>
      <c r="D56" t="s" s="0">
        <v>81</v>
      </c>
      <c r="E56" t="s" s="0">
        <v>366</v>
      </c>
      <c r="F56" t="s" s="0">
        <v>367</v>
      </c>
      <c r="G56" t="s" s="0">
        <v>368</v>
      </c>
      <c r="H56" t="s" s="0">
        <v>369</v>
      </c>
      <c r="I56" t="s" s="0">
        <v>370</v>
      </c>
      <c r="J56" t="s" s="0">
        <v>41</v>
      </c>
      <c r="K56" t="s" s="0">
        <v>42</v>
      </c>
      <c r="L56" t="s" s="0">
        <v>41</v>
      </c>
      <c r="M56" t="s" s="0">
        <v>41</v>
      </c>
      <c r="N56" t="s" s="0">
        <v>43</v>
      </c>
    </row>
    <row r="57">
      <c r="A57" t="s" s="0">
        <v>371</v>
      </c>
      <c r="B57" t="s" s="0">
        <v>372</v>
      </c>
      <c r="C57" t="s" s="0">
        <v>373</v>
      </c>
      <c r="D57" t="s" s="0">
        <v>35</v>
      </c>
      <c r="E57" t="s" s="0">
        <v>36</v>
      </c>
      <c r="F57" t="s" s="0">
        <v>374</v>
      </c>
      <c r="G57" t="s" s="0">
        <v>375</v>
      </c>
      <c r="H57" t="s" s="0">
        <v>376</v>
      </c>
      <c r="I57" t="s" s="0">
        <v>377</v>
      </c>
      <c r="J57" t="s" s="0">
        <v>41</v>
      </c>
      <c r="K57" t="s" s="0">
        <v>42</v>
      </c>
      <c r="L57" t="s" s="0">
        <v>41</v>
      </c>
      <c r="M57" t="s" s="0">
        <v>41</v>
      </c>
      <c r="N57" t="s" s="0">
        <v>43</v>
      </c>
    </row>
    <row r="58">
      <c r="A58" t="s" s="0">
        <v>378</v>
      </c>
      <c r="B58" t="s" s="0">
        <v>372</v>
      </c>
      <c r="C58" t="s" s="0">
        <v>379</v>
      </c>
      <c r="D58" t="s" s="0">
        <v>35</v>
      </c>
      <c r="E58" t="s" s="0">
        <v>213</v>
      </c>
      <c r="F58" t="s" s="0">
        <v>374</v>
      </c>
      <c r="G58" t="s" s="0">
        <v>380</v>
      </c>
      <c r="H58" t="s" s="0">
        <v>381</v>
      </c>
      <c r="I58" t="s" s="0">
        <v>382</v>
      </c>
      <c r="J58" t="s" s="0">
        <v>41</v>
      </c>
      <c r="K58" t="s" s="0">
        <v>42</v>
      </c>
      <c r="L58" t="s" s="0">
        <v>41</v>
      </c>
      <c r="M58" t="s" s="0">
        <v>41</v>
      </c>
      <c r="N58" t="s" s="0">
        <v>43</v>
      </c>
    </row>
    <row r="59">
      <c r="A59" t="s" s="0">
        <v>383</v>
      </c>
      <c r="B59" t="s" s="0">
        <v>372</v>
      </c>
      <c r="C59" t="s" s="0">
        <v>384</v>
      </c>
      <c r="D59" t="s" s="0">
        <v>35</v>
      </c>
      <c r="E59" t="s" s="0">
        <v>180</v>
      </c>
      <c r="F59" t="s" s="0">
        <v>385</v>
      </c>
      <c r="G59" t="s" s="0">
        <v>386</v>
      </c>
      <c r="H59" t="s" s="0">
        <v>387</v>
      </c>
      <c r="I59" t="s" s="0">
        <v>388</v>
      </c>
      <c r="J59" t="s" s="0">
        <v>41</v>
      </c>
      <c r="K59" t="s" s="0">
        <v>42</v>
      </c>
      <c r="L59" t="s" s="0">
        <v>41</v>
      </c>
      <c r="M59" t="s" s="0">
        <v>41</v>
      </c>
      <c r="N59" t="s" s="0">
        <v>43</v>
      </c>
    </row>
    <row r="60">
      <c r="A60" t="s" s="0">
        <v>389</v>
      </c>
      <c r="B60" t="s" s="0">
        <v>390</v>
      </c>
      <c r="C60" t="s" s="0">
        <v>391</v>
      </c>
      <c r="D60" t="s" s="0">
        <v>35</v>
      </c>
      <c r="E60" t="s" s="0">
        <v>36</v>
      </c>
      <c r="F60" t="s" s="0">
        <v>392</v>
      </c>
      <c r="G60" t="s" s="0">
        <v>393</v>
      </c>
      <c r="H60" t="s" s="0">
        <v>394</v>
      </c>
      <c r="I60" t="s" s="0">
        <v>395</v>
      </c>
      <c r="J60" t="s" s="0">
        <v>41</v>
      </c>
      <c r="K60" t="s" s="0">
        <v>42</v>
      </c>
      <c r="L60" t="s" s="0">
        <v>41</v>
      </c>
      <c r="M60" t="s" s="0">
        <v>41</v>
      </c>
      <c r="N60" t="s" s="0">
        <v>43</v>
      </c>
    </row>
    <row r="61">
      <c r="A61" t="s" s="0">
        <v>396</v>
      </c>
      <c r="B61" t="s" s="0">
        <v>390</v>
      </c>
      <c r="C61" t="s" s="0">
        <v>397</v>
      </c>
      <c r="D61" t="s" s="0">
        <v>35</v>
      </c>
      <c r="E61" t="s" s="0">
        <v>36</v>
      </c>
      <c r="F61" t="s" s="0">
        <v>398</v>
      </c>
      <c r="G61" t="s" s="0">
        <v>399</v>
      </c>
      <c r="H61" t="s" s="0">
        <v>400</v>
      </c>
      <c r="I61" t="s" s="0">
        <v>401</v>
      </c>
      <c r="J61" t="s" s="0">
        <v>41</v>
      </c>
      <c r="K61" t="s" s="0">
        <v>42</v>
      </c>
      <c r="L61" t="s" s="0">
        <v>41</v>
      </c>
      <c r="M61" t="s" s="0">
        <v>41</v>
      </c>
      <c r="N61" t="s" s="0">
        <v>43</v>
      </c>
    </row>
    <row r="62">
      <c r="A62" t="s" s="0">
        <v>402</v>
      </c>
      <c r="B62" t="s" s="0">
        <v>390</v>
      </c>
      <c r="C62" t="s" s="0">
        <v>403</v>
      </c>
      <c r="D62" t="s" s="0">
        <v>35</v>
      </c>
      <c r="E62" t="s" s="0">
        <v>36</v>
      </c>
      <c r="F62" t="s" s="0">
        <v>398</v>
      </c>
      <c r="G62" t="s" s="0">
        <v>404</v>
      </c>
      <c r="H62" t="s" s="0">
        <v>121</v>
      </c>
      <c r="I62" t="s" s="0">
        <v>405</v>
      </c>
      <c r="J62" t="s" s="0">
        <v>41</v>
      </c>
      <c r="K62" t="s" s="0">
        <v>42</v>
      </c>
      <c r="L62" t="s" s="0">
        <v>41</v>
      </c>
      <c r="M62" t="s" s="0">
        <v>41</v>
      </c>
      <c r="N62" t="s" s="0">
        <v>43</v>
      </c>
    </row>
    <row r="63">
      <c r="A63" t="s" s="0">
        <v>406</v>
      </c>
      <c r="B63" t="s" s="0">
        <v>390</v>
      </c>
      <c r="C63" t="s" s="0">
        <v>407</v>
      </c>
      <c r="D63" t="s" s="0">
        <v>81</v>
      </c>
      <c r="E63" t="s" s="0">
        <v>36</v>
      </c>
      <c r="F63" t="s" s="0">
        <v>408</v>
      </c>
      <c r="G63" t="s" s="0">
        <v>409</v>
      </c>
      <c r="H63" t="s" s="0">
        <v>410</v>
      </c>
      <c r="I63" t="s" s="0">
        <v>411</v>
      </c>
      <c r="J63" t="s" s="0">
        <v>41</v>
      </c>
      <c r="K63" t="s" s="0">
        <v>42</v>
      </c>
      <c r="L63" t="s" s="0">
        <v>41</v>
      </c>
      <c r="M63" t="s" s="0">
        <v>41</v>
      </c>
      <c r="N63" t="s" s="0">
        <v>43</v>
      </c>
    </row>
    <row r="64">
      <c r="A64" t="s" s="0">
        <v>412</v>
      </c>
      <c r="B64" t="s" s="0">
        <v>390</v>
      </c>
      <c r="C64" t="s" s="0">
        <v>413</v>
      </c>
      <c r="D64" t="s" s="0">
        <v>81</v>
      </c>
      <c r="E64" t="s" s="0">
        <v>36</v>
      </c>
      <c r="F64" t="s" s="0">
        <v>414</v>
      </c>
      <c r="G64" t="s" s="0">
        <v>415</v>
      </c>
      <c r="H64" t="s" s="0">
        <v>416</v>
      </c>
      <c r="I64" t="s" s="0">
        <v>417</v>
      </c>
      <c r="J64" t="s" s="0">
        <v>41</v>
      </c>
      <c r="K64" t="s" s="0">
        <v>42</v>
      </c>
      <c r="L64" t="s" s="0">
        <v>41</v>
      </c>
      <c r="M64" t="s" s="0">
        <v>41</v>
      </c>
      <c r="N64" t="s" s="0">
        <v>43</v>
      </c>
    </row>
    <row r="65">
      <c r="A65" t="s" s="0">
        <v>418</v>
      </c>
      <c r="B65" t="s" s="0">
        <v>390</v>
      </c>
      <c r="C65" t="s" s="0">
        <v>419</v>
      </c>
      <c r="D65" t="s" s="0">
        <v>35</v>
      </c>
      <c r="E65" t="s" s="0">
        <v>324</v>
      </c>
      <c r="F65" t="s" s="0">
        <v>420</v>
      </c>
      <c r="G65" t="s" s="0">
        <v>421</v>
      </c>
      <c r="H65" t="s" s="0">
        <v>422</v>
      </c>
      <c r="I65" t="s" s="0">
        <v>423</v>
      </c>
      <c r="J65" t="s" s="0">
        <v>41</v>
      </c>
      <c r="K65" t="s" s="0">
        <v>42</v>
      </c>
      <c r="L65" t="s" s="0">
        <v>41</v>
      </c>
      <c r="M65" t="s" s="0">
        <v>41</v>
      </c>
      <c r="N65" t="s" s="0">
        <v>43</v>
      </c>
    </row>
    <row r="66">
      <c r="A66" t="s" s="0">
        <v>424</v>
      </c>
      <c r="B66" t="s" s="0">
        <v>425</v>
      </c>
      <c r="C66" t="s" s="0">
        <v>426</v>
      </c>
      <c r="D66" t="s" s="0">
        <v>35</v>
      </c>
      <c r="E66" t="s" s="0">
        <v>36</v>
      </c>
      <c r="F66" t="s" s="0">
        <v>427</v>
      </c>
      <c r="G66" t="s" s="0">
        <v>428</v>
      </c>
      <c r="H66" t="s" s="0">
        <v>109</v>
      </c>
      <c r="I66" t="s" s="0">
        <v>429</v>
      </c>
      <c r="J66" t="s" s="0">
        <v>41</v>
      </c>
      <c r="K66" t="s" s="0">
        <v>42</v>
      </c>
      <c r="L66" t="s" s="0">
        <v>41</v>
      </c>
      <c r="M66" t="s" s="0">
        <v>41</v>
      </c>
      <c r="N66" t="s" s="0">
        <v>43</v>
      </c>
    </row>
    <row r="67">
      <c r="A67" t="s" s="0">
        <v>430</v>
      </c>
      <c r="B67" t="s" s="0">
        <v>425</v>
      </c>
      <c r="C67" t="s" s="0">
        <v>431</v>
      </c>
      <c r="D67" t="s" s="0">
        <v>35</v>
      </c>
      <c r="E67" t="s" s="0">
        <v>36</v>
      </c>
      <c r="F67" t="s" s="0">
        <v>432</v>
      </c>
      <c r="G67" t="s" s="0">
        <v>433</v>
      </c>
      <c r="H67" t="s" s="0">
        <v>109</v>
      </c>
      <c r="I67" t="s" s="0">
        <v>434</v>
      </c>
      <c r="J67" t="s" s="0">
        <v>41</v>
      </c>
      <c r="K67" t="s" s="0">
        <v>42</v>
      </c>
      <c r="L67" t="s" s="0">
        <v>41</v>
      </c>
      <c r="M67" t="s" s="0">
        <v>41</v>
      </c>
      <c r="N67" t="s" s="0">
        <v>43</v>
      </c>
    </row>
    <row r="68">
      <c r="A68" t="s" s="0">
        <v>435</v>
      </c>
      <c r="B68" t="s" s="0">
        <v>425</v>
      </c>
      <c r="C68" t="s" s="0">
        <v>436</v>
      </c>
      <c r="D68" t="s" s="0">
        <v>35</v>
      </c>
      <c r="E68" t="s" s="0">
        <v>437</v>
      </c>
      <c r="F68" t="s" s="0">
        <v>438</v>
      </c>
      <c r="G68" t="s" s="0">
        <v>439</v>
      </c>
      <c r="H68" t="s" s="0">
        <v>440</v>
      </c>
      <c r="I68" t="s" s="0">
        <v>441</v>
      </c>
      <c r="J68" t="s" s="0">
        <v>41</v>
      </c>
      <c r="K68" t="s" s="0">
        <v>42</v>
      </c>
      <c r="L68" t="s" s="0">
        <v>41</v>
      </c>
      <c r="M68" t="s" s="0">
        <v>41</v>
      </c>
      <c r="N68" t="s" s="0">
        <v>43</v>
      </c>
    </row>
    <row r="69">
      <c r="A69" t="s" s="0">
        <v>442</v>
      </c>
      <c r="B69" t="s" s="0">
        <v>425</v>
      </c>
      <c r="C69" t="s" s="0">
        <v>443</v>
      </c>
      <c r="D69" t="s" s="0">
        <v>81</v>
      </c>
      <c r="E69" t="s" s="0">
        <v>444</v>
      </c>
      <c r="F69" t="s" s="0">
        <v>445</v>
      </c>
      <c r="G69" t="s" s="0">
        <v>446</v>
      </c>
      <c r="H69" t="s" s="0">
        <v>447</v>
      </c>
      <c r="I69" t="s" s="0">
        <v>448</v>
      </c>
      <c r="J69" t="s" s="0">
        <v>41</v>
      </c>
      <c r="K69" t="s" s="0">
        <v>42</v>
      </c>
      <c r="L69" t="s" s="0">
        <v>41</v>
      </c>
      <c r="M69" t="s" s="0">
        <v>41</v>
      </c>
      <c r="N69" t="s" s="0">
        <v>43</v>
      </c>
    </row>
    <row r="70">
      <c r="A70" t="s" s="0">
        <v>449</v>
      </c>
      <c r="B70" t="s" s="0">
        <v>425</v>
      </c>
      <c r="C70" t="s" s="0">
        <v>450</v>
      </c>
      <c r="D70" t="s" s="0">
        <v>35</v>
      </c>
      <c r="E70" t="s" s="0">
        <v>213</v>
      </c>
      <c r="F70" t="s" s="0">
        <v>188</v>
      </c>
      <c r="G70" t="s" s="0">
        <v>451</v>
      </c>
      <c r="H70" t="s" s="0">
        <v>452</v>
      </c>
      <c r="I70" t="s" s="0">
        <v>453</v>
      </c>
      <c r="J70" t="s" s="0">
        <v>41</v>
      </c>
      <c r="K70" t="s" s="0">
        <v>42</v>
      </c>
      <c r="L70" t="s" s="0">
        <v>41</v>
      </c>
      <c r="M70" t="s" s="0">
        <v>41</v>
      </c>
      <c r="N70" t="s" s="0">
        <v>43</v>
      </c>
    </row>
    <row r="71">
      <c r="A71" t="s" s="0">
        <v>454</v>
      </c>
      <c r="B71" t="s" s="0">
        <v>425</v>
      </c>
      <c r="C71" t="s" s="0">
        <v>455</v>
      </c>
      <c r="D71" t="s" s="0">
        <v>35</v>
      </c>
      <c r="E71" t="s" s="0">
        <v>456</v>
      </c>
      <c r="F71" t="s" s="0">
        <v>457</v>
      </c>
      <c r="G71" t="s" s="0">
        <v>458</v>
      </c>
      <c r="H71" t="s" s="0">
        <v>109</v>
      </c>
      <c r="I71" t="s" s="0">
        <v>459</v>
      </c>
      <c r="J71" t="s" s="0">
        <v>41</v>
      </c>
      <c r="K71" t="s" s="0">
        <v>42</v>
      </c>
      <c r="L71" t="s" s="0">
        <v>41</v>
      </c>
      <c r="M71" t="s" s="0">
        <v>41</v>
      </c>
      <c r="N71" t="s" s="0">
        <v>43</v>
      </c>
    </row>
    <row r="72">
      <c r="A72" t="s" s="0">
        <v>460</v>
      </c>
      <c r="B72" t="s" s="0">
        <v>425</v>
      </c>
      <c r="C72" t="s" s="0">
        <v>461</v>
      </c>
      <c r="D72" t="s" s="0">
        <v>35</v>
      </c>
      <c r="E72" t="s" s="0">
        <v>462</v>
      </c>
      <c r="F72" t="s" s="0">
        <v>463</v>
      </c>
      <c r="G72" t="s" s="0">
        <v>464</v>
      </c>
      <c r="H72" t="s" s="0">
        <v>465</v>
      </c>
      <c r="I72" t="s" s="0">
        <v>466</v>
      </c>
      <c r="J72" t="s" s="0">
        <v>41</v>
      </c>
      <c r="K72" t="s" s="0">
        <v>42</v>
      </c>
      <c r="L72" t="s" s="0">
        <v>41</v>
      </c>
      <c r="M72" t="s" s="0">
        <v>41</v>
      </c>
      <c r="N72" t="s" s="0">
        <v>43</v>
      </c>
    </row>
    <row r="73">
      <c r="A73" t="s" s="0">
        <v>467</v>
      </c>
      <c r="B73" t="s" s="0">
        <v>425</v>
      </c>
      <c r="C73" t="s" s="0">
        <v>468</v>
      </c>
      <c r="D73" t="s" s="0">
        <v>35</v>
      </c>
      <c r="E73" t="s" s="0">
        <v>299</v>
      </c>
      <c r="F73" t="s" s="0">
        <v>469</v>
      </c>
      <c r="G73" t="s" s="0">
        <v>470</v>
      </c>
      <c r="H73" t="s" s="0">
        <v>471</v>
      </c>
      <c r="I73" t="s" s="0">
        <v>472</v>
      </c>
      <c r="J73" t="s" s="0">
        <v>41</v>
      </c>
      <c r="K73" t="s" s="0">
        <v>42</v>
      </c>
      <c r="L73" t="s" s="0">
        <v>41</v>
      </c>
      <c r="M73" t="s" s="0">
        <v>41</v>
      </c>
      <c r="N73" t="s" s="0">
        <v>43</v>
      </c>
    </row>
    <row r="74">
      <c r="A74" t="s" s="0">
        <v>473</v>
      </c>
      <c r="B74" t="s" s="0">
        <v>425</v>
      </c>
      <c r="C74" t="s" s="0">
        <v>474</v>
      </c>
      <c r="D74" t="s" s="0">
        <v>81</v>
      </c>
      <c r="E74" t="s" s="0">
        <v>285</v>
      </c>
      <c r="F74" t="s" s="0">
        <v>188</v>
      </c>
      <c r="G74" t="s" s="0">
        <v>475</v>
      </c>
      <c r="H74" t="s" s="0">
        <v>476</v>
      </c>
      <c r="I74" t="s" s="0">
        <v>477</v>
      </c>
      <c r="J74" t="s" s="0">
        <v>41</v>
      </c>
      <c r="K74" t="s" s="0">
        <v>42</v>
      </c>
      <c r="L74" t="s" s="0">
        <v>41</v>
      </c>
      <c r="M74" t="s" s="0">
        <v>41</v>
      </c>
      <c r="N74" t="s" s="0">
        <v>43</v>
      </c>
    </row>
    <row r="75">
      <c r="A75" t="s" s="0">
        <v>478</v>
      </c>
      <c r="B75" t="s" s="0">
        <v>425</v>
      </c>
      <c r="C75" t="s" s="0">
        <v>479</v>
      </c>
      <c r="D75" t="s" s="0">
        <v>81</v>
      </c>
      <c r="E75" t="s" s="0">
        <v>45</v>
      </c>
      <c r="F75" t="s" s="0">
        <v>480</v>
      </c>
      <c r="G75" t="s" s="0">
        <v>481</v>
      </c>
      <c r="H75" t="s" s="0">
        <v>482</v>
      </c>
      <c r="I75" t="s" s="0">
        <v>483</v>
      </c>
      <c r="J75" t="s" s="0">
        <v>41</v>
      </c>
      <c r="K75" t="s" s="0">
        <v>42</v>
      </c>
      <c r="L75" t="s" s="0">
        <v>41</v>
      </c>
      <c r="M75" t="s" s="0">
        <v>41</v>
      </c>
      <c r="N75" t="s" s="0">
        <v>43</v>
      </c>
    </row>
    <row r="76">
      <c r="A76" t="s" s="0">
        <v>484</v>
      </c>
      <c r="B76" t="s" s="0">
        <v>485</v>
      </c>
      <c r="C76" t="s" s="0">
        <v>486</v>
      </c>
      <c r="D76" t="s" s="0">
        <v>35</v>
      </c>
      <c r="E76" t="s" s="0">
        <v>36</v>
      </c>
      <c r="F76" t="s" s="0">
        <v>487</v>
      </c>
      <c r="G76" t="s" s="0">
        <v>488</v>
      </c>
      <c r="H76" t="s" s="0">
        <v>489</v>
      </c>
      <c r="I76" t="s" s="0">
        <v>490</v>
      </c>
      <c r="J76" t="s" s="0">
        <v>41</v>
      </c>
      <c r="K76" t="s" s="0">
        <v>42</v>
      </c>
      <c r="L76" t="s" s="0">
        <v>41</v>
      </c>
      <c r="M76" t="s" s="0">
        <v>41</v>
      </c>
      <c r="N76" t="s" s="0">
        <v>43</v>
      </c>
    </row>
    <row r="77">
      <c r="A77" t="s" s="0">
        <v>491</v>
      </c>
      <c r="B77" t="s" s="0">
        <v>485</v>
      </c>
      <c r="C77" t="s" s="0">
        <v>492</v>
      </c>
      <c r="D77" t="s" s="0">
        <v>35</v>
      </c>
      <c r="E77" t="s" s="0">
        <v>36</v>
      </c>
      <c r="F77" t="s" s="0">
        <v>487</v>
      </c>
      <c r="G77" t="s" s="0">
        <v>493</v>
      </c>
      <c r="H77" t="s" s="0">
        <v>494</v>
      </c>
      <c r="I77" t="s" s="0">
        <v>495</v>
      </c>
      <c r="J77" t="s" s="0">
        <v>41</v>
      </c>
      <c r="K77" t="s" s="0">
        <v>42</v>
      </c>
      <c r="L77" t="s" s="0">
        <v>41</v>
      </c>
      <c r="M77" t="s" s="0">
        <v>41</v>
      </c>
      <c r="N77" t="s" s="0">
        <v>43</v>
      </c>
    </row>
    <row r="78">
      <c r="A78" t="s" s="0">
        <v>496</v>
      </c>
      <c r="B78" t="s" s="0">
        <v>485</v>
      </c>
      <c r="C78" t="s" s="0">
        <v>497</v>
      </c>
      <c r="D78" t="s" s="0">
        <v>35</v>
      </c>
      <c r="E78" t="s" s="0">
        <v>36</v>
      </c>
      <c r="F78" t="s" s="0">
        <v>498</v>
      </c>
      <c r="G78" t="s" s="0">
        <v>499</v>
      </c>
      <c r="H78" t="s" s="0">
        <v>500</v>
      </c>
      <c r="I78" t="s" s="0">
        <v>501</v>
      </c>
      <c r="J78" t="s" s="0">
        <v>41</v>
      </c>
      <c r="K78" t="s" s="0">
        <v>42</v>
      </c>
      <c r="L78" t="s" s="0">
        <v>41</v>
      </c>
      <c r="M78" t="s" s="0">
        <v>41</v>
      </c>
      <c r="N78" t="s" s="0">
        <v>43</v>
      </c>
    </row>
    <row r="79">
      <c r="A79" t="s" s="0">
        <v>502</v>
      </c>
      <c r="B79" t="s" s="0">
        <v>485</v>
      </c>
      <c r="C79" t="s" s="0">
        <v>503</v>
      </c>
      <c r="D79" t="s" s="0">
        <v>35</v>
      </c>
      <c r="E79" t="s" s="0">
        <v>180</v>
      </c>
      <c r="F79" t="s" s="0">
        <v>504</v>
      </c>
      <c r="G79" t="s" s="0">
        <v>505</v>
      </c>
      <c r="H79" t="s" s="0">
        <v>506</v>
      </c>
      <c r="I79" t="s" s="0">
        <v>507</v>
      </c>
      <c r="J79" t="s" s="0">
        <v>41</v>
      </c>
      <c r="K79" t="s" s="0">
        <v>42</v>
      </c>
      <c r="L79" t="s" s="0">
        <v>41</v>
      </c>
      <c r="M79" t="s" s="0">
        <v>41</v>
      </c>
      <c r="N79" t="s" s="0">
        <v>43</v>
      </c>
    </row>
    <row r="80">
      <c r="A80" t="s" s="0">
        <v>508</v>
      </c>
      <c r="B80" t="s" s="0">
        <v>485</v>
      </c>
      <c r="C80" t="s" s="0">
        <v>509</v>
      </c>
      <c r="D80" t="s" s="0">
        <v>81</v>
      </c>
      <c r="E80" t="s" s="0">
        <v>68</v>
      </c>
      <c r="F80" t="s" s="0">
        <v>96</v>
      </c>
      <c r="G80" t="s" s="0">
        <v>510</v>
      </c>
      <c r="H80" t="s" s="0">
        <v>511</v>
      </c>
      <c r="I80" t="s" s="0">
        <v>512</v>
      </c>
      <c r="J80" t="s" s="0">
        <v>41</v>
      </c>
      <c r="K80" t="s" s="0">
        <v>42</v>
      </c>
      <c r="L80" t="s" s="0">
        <v>41</v>
      </c>
      <c r="M80" t="s" s="0">
        <v>41</v>
      </c>
      <c r="N80" t="s" s="0">
        <v>43</v>
      </c>
    </row>
    <row r="81">
      <c r="A81" t="s" s="0">
        <v>513</v>
      </c>
      <c r="B81" t="s" s="0">
        <v>514</v>
      </c>
      <c r="C81" t="s" s="0">
        <v>515</v>
      </c>
      <c r="D81" t="s" s="0">
        <v>35</v>
      </c>
      <c r="E81" t="s" s="0">
        <v>36</v>
      </c>
      <c r="F81" t="s" s="0">
        <v>516</v>
      </c>
      <c r="G81" t="s" s="0">
        <v>517</v>
      </c>
      <c r="H81" t="s" s="0">
        <v>518</v>
      </c>
      <c r="I81" t="s" s="0">
        <v>519</v>
      </c>
      <c r="J81" t="s" s="0">
        <v>41</v>
      </c>
      <c r="K81" t="s" s="0">
        <v>42</v>
      </c>
      <c r="L81" t="s" s="0">
        <v>41</v>
      </c>
      <c r="M81" t="s" s="0">
        <v>41</v>
      </c>
      <c r="N81" t="s" s="0">
        <v>43</v>
      </c>
    </row>
    <row r="82">
      <c r="A82" t="s" s="0">
        <v>520</v>
      </c>
      <c r="B82" t="s" s="0">
        <v>514</v>
      </c>
      <c r="C82" t="s" s="0">
        <v>521</v>
      </c>
      <c r="D82" t="s" s="0">
        <v>81</v>
      </c>
      <c r="E82" t="s" s="0">
        <v>522</v>
      </c>
      <c r="F82" t="s" s="0">
        <v>516</v>
      </c>
      <c r="G82" t="s" s="0">
        <v>523</v>
      </c>
      <c r="H82" t="s" s="0">
        <v>524</v>
      </c>
      <c r="I82" t="s" s="0">
        <v>525</v>
      </c>
      <c r="J82" t="s" s="0">
        <v>41</v>
      </c>
      <c r="K82" t="s" s="0">
        <v>42</v>
      </c>
      <c r="L82" t="s" s="0">
        <v>41</v>
      </c>
      <c r="M82" t="s" s="0">
        <v>41</v>
      </c>
      <c r="N82" t="s" s="0">
        <v>43</v>
      </c>
    </row>
    <row r="83">
      <c r="A83" t="s" s="0">
        <v>526</v>
      </c>
      <c r="B83" t="s" s="0">
        <v>514</v>
      </c>
      <c r="C83" t="s" s="0">
        <v>527</v>
      </c>
      <c r="D83" t="s" s="0">
        <v>81</v>
      </c>
      <c r="E83" t="s" s="0">
        <v>45</v>
      </c>
      <c r="F83" t="s" s="0">
        <v>528</v>
      </c>
      <c r="G83" t="s" s="0">
        <v>529</v>
      </c>
      <c r="H83" t="s" s="0">
        <v>530</v>
      </c>
      <c r="I83" t="s" s="0">
        <v>531</v>
      </c>
      <c r="J83" t="s" s="0">
        <v>41</v>
      </c>
      <c r="K83" t="s" s="0">
        <v>42</v>
      </c>
      <c r="L83" t="s" s="0">
        <v>41</v>
      </c>
      <c r="M83" t="s" s="0">
        <v>41</v>
      </c>
      <c r="N83" t="s" s="0">
        <v>43</v>
      </c>
    </row>
    <row r="84">
      <c r="A84" t="s" s="0">
        <v>532</v>
      </c>
      <c r="B84" t="s" s="0">
        <v>514</v>
      </c>
      <c r="C84" t="s" s="0">
        <v>533</v>
      </c>
      <c r="D84" t="s" s="0">
        <v>81</v>
      </c>
      <c r="E84" t="s" s="0">
        <v>68</v>
      </c>
      <c r="F84" t="s" s="0">
        <v>534</v>
      </c>
      <c r="G84" t="s" s="0">
        <v>535</v>
      </c>
      <c r="H84" t="s" s="0">
        <v>536</v>
      </c>
      <c r="I84" t="s" s="0">
        <v>537</v>
      </c>
      <c r="J84" t="s" s="0">
        <v>41</v>
      </c>
      <c r="K84" t="s" s="0">
        <v>42</v>
      </c>
      <c r="L84" t="s" s="0">
        <v>41</v>
      </c>
      <c r="M84" t="s" s="0">
        <v>41</v>
      </c>
      <c r="N84" t="s" s="0">
        <v>43</v>
      </c>
    </row>
    <row r="85">
      <c r="A85" t="s" s="0">
        <v>538</v>
      </c>
      <c r="B85" t="s" s="0">
        <v>514</v>
      </c>
      <c r="C85" t="s" s="0">
        <v>539</v>
      </c>
      <c r="D85" t="s" s="0">
        <v>81</v>
      </c>
      <c r="E85" t="s" s="0">
        <v>540</v>
      </c>
      <c r="F85" t="s" s="0">
        <v>541</v>
      </c>
      <c r="G85" t="s" s="0">
        <v>542</v>
      </c>
      <c r="H85" t="s" s="0">
        <v>543</v>
      </c>
      <c r="I85" t="s" s="0">
        <v>544</v>
      </c>
      <c r="J85" t="s" s="0">
        <v>41</v>
      </c>
      <c r="K85" t="s" s="0">
        <v>42</v>
      </c>
      <c r="L85" t="s" s="0">
        <v>41</v>
      </c>
      <c r="M85" t="s" s="0">
        <v>41</v>
      </c>
      <c r="N85" t="s" s="0">
        <v>43</v>
      </c>
    </row>
    <row r="86">
      <c r="A86" t="s" s="0">
        <v>545</v>
      </c>
      <c r="B86" t="s" s="0">
        <v>546</v>
      </c>
      <c r="C86" t="s" s="0">
        <v>547</v>
      </c>
      <c r="D86" t="s" s="0">
        <v>35</v>
      </c>
      <c r="E86" t="s" s="0">
        <v>131</v>
      </c>
      <c r="F86" t="s" s="0">
        <v>548</v>
      </c>
      <c r="G86" t="s" s="0">
        <v>549</v>
      </c>
      <c r="H86" t="s" s="0">
        <v>550</v>
      </c>
      <c r="I86" t="s" s="0">
        <v>551</v>
      </c>
      <c r="J86" t="s" s="0">
        <v>41</v>
      </c>
      <c r="K86" t="s" s="0">
        <v>42</v>
      </c>
      <c r="L86" t="s" s="0">
        <v>41</v>
      </c>
      <c r="M86" t="s" s="0">
        <v>41</v>
      </c>
      <c r="N86" t="s" s="0">
        <v>43</v>
      </c>
    </row>
  </sheetData>
  <pageMargins left="0.3" right="0.3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16" customWidth="1"/>
    <col min="2" max="2" width="24" customWidth="1"/>
    <col min="3" max="3" width="72" customWidth="1"/>
    <col min="4" max="4" width="50" customWidth="1"/>
  </cols>
  <sheetData>
    <row r="1" ht="24" customHeight="1">
      <c r="A1" t="s" s="4">
        <v>552</v>
      </c>
      <c r="B1" t="s" s="0">
        <v>553</v>
      </c>
    </row>
    <row r="2" ht="30" customHeight="1">
      <c r="A2" t="s" s="4">
        <v>554</v>
      </c>
      <c r="B2" t="s" s="4">
        <v>555</v>
      </c>
      <c r="C2" t="s" s="4">
        <v>556</v>
      </c>
      <c r="D2" t="s" s="4">
        <v>557</v>
      </c>
    </row>
    <row r="3">
      <c r="A3" t="s" s="0">
        <v>558</v>
      </c>
      <c r="B3" t="s" s="0">
        <v>559</v>
      </c>
      <c r="C3" t="s" s="0">
        <v>560</v>
      </c>
      <c r="D3" t="s" s="0">
        <v>561</v>
      </c>
    </row>
    <row r="4">
      <c r="A4" t="s" s="0">
        <v>558</v>
      </c>
      <c r="B4" t="s" s="0">
        <v>562</v>
      </c>
      <c r="C4" t="s" s="0">
        <v>563</v>
      </c>
      <c r="D4" t="s" s="0">
        <v>564</v>
      </c>
    </row>
    <row r="5">
      <c r="A5" t="s" s="0">
        <v>558</v>
      </c>
      <c r="B5" t="s" s="0">
        <v>565</v>
      </c>
      <c r="C5" t="s" s="0">
        <v>566</v>
      </c>
      <c r="D5" t="s" s="0">
        <v>567</v>
      </c>
    </row>
    <row r="6">
      <c r="A6" t="s" s="0">
        <v>558</v>
      </c>
      <c r="B6" t="s" s="0">
        <v>568</v>
      </c>
      <c r="C6" t="s" s="0">
        <v>569</v>
      </c>
      <c r="D6" t="s" s="0">
        <v>570</v>
      </c>
    </row>
    <row r="7">
      <c r="A7" t="s" s="0">
        <v>558</v>
      </c>
      <c r="B7" t="s" s="0">
        <v>571</v>
      </c>
      <c r="C7" t="s" s="0">
        <v>572</v>
      </c>
      <c r="D7" t="s" s="0">
        <v>573</v>
      </c>
    </row>
    <row r="8">
      <c r="A8" t="s" s="0">
        <v>574</v>
      </c>
      <c r="B8" t="s" s="0">
        <v>575</v>
      </c>
      <c r="C8" t="s" s="0">
        <v>576</v>
      </c>
      <c r="D8" t="s" s="0">
        <v>577</v>
      </c>
    </row>
    <row r="9">
      <c r="A9" t="s" s="0">
        <v>578</v>
      </c>
      <c r="B9" t="s" s="0">
        <v>579</v>
      </c>
      <c r="C9" t="s" s="0">
        <v>580</v>
      </c>
      <c r="D9" t="s" s="0">
        <v>581</v>
      </c>
    </row>
    <row r="10">
      <c r="A10" t="s" s="0">
        <v>578</v>
      </c>
      <c r="B10" t="s" s="0">
        <v>582</v>
      </c>
      <c r="C10" t="s" s="0">
        <v>583</v>
      </c>
      <c r="D10" t="s" s="0">
        <v>584</v>
      </c>
    </row>
    <row r="11">
      <c r="A11" t="s" s="0">
        <v>585</v>
      </c>
      <c r="B11" t="s" s="0">
        <v>586</v>
      </c>
      <c r="C11" t="s" s="0">
        <v>587</v>
      </c>
      <c r="D11" t="s" s="0">
        <v>588</v>
      </c>
    </row>
    <row r="12">
      <c r="A12" t="s" s="0">
        <v>589</v>
      </c>
      <c r="B12" t="s" s="0">
        <v>590</v>
      </c>
      <c r="C12" t="s" s="0">
        <v>591</v>
      </c>
      <c r="D12" t="s" s="0">
        <v>592</v>
      </c>
    </row>
    <row r="13">
      <c r="A13" t="s" s="0">
        <v>593</v>
      </c>
      <c r="B13" t="s" s="0">
        <v>594</v>
      </c>
      <c r="C13" t="s" s="0">
        <v>595</v>
      </c>
      <c r="D13" t="s" s="0">
        <v>596</v>
      </c>
    </row>
    <row r="14">
      <c r="A14" t="s" s="0">
        <v>593</v>
      </c>
      <c r="B14" t="s" s="0">
        <v>597</v>
      </c>
      <c r="C14" t="s" s="0">
        <v>598</v>
      </c>
      <c r="D14" t="s" s="0">
        <v>599</v>
      </c>
    </row>
    <row r="15">
      <c r="A15" t="s" s="0">
        <v>600</v>
      </c>
      <c r="B15" t="s" s="0">
        <v>601</v>
      </c>
      <c r="C15" t="s" s="0">
        <v>602</v>
      </c>
      <c r="D15" t="s" s="0">
        <v>603</v>
      </c>
    </row>
  </sheetData>
  <pageMargins left="0.3" right="0.3" top="0.5" bottom="0.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sheetFormatPr defaultRowHeight="18"/>
  <cols>
    <col min="1" max="1" width="24" customWidth="1"/>
    <col min="2" max="2" width="16" customWidth="1"/>
    <col min="3" max="3" width="48" customWidth="1"/>
  </cols>
  <sheetData>
    <row r="1" ht="24" customHeight="1">
      <c r="A1" t="s" s="4">
        <v>604</v>
      </c>
      <c r="B1" t="s" s="0">
        <v>605</v>
      </c>
    </row>
    <row r="2" ht="30" customHeight="1">
      <c r="A2" t="s" s="4">
        <v>606</v>
      </c>
      <c r="B2" t="s" s="4">
        <v>607</v>
      </c>
      <c r="C2" t="s" s="4">
        <v>14</v>
      </c>
    </row>
    <row r="3">
      <c r="A3" t="s" s="0">
        <v>608</v>
      </c>
      <c r="B3" s="10">
        <f>COUNTA('功能测试用例'!A3:A200</f>
        <v/>
      </c>
      <c r="C3" t="s" s="0">
        <v>609</v>
      </c>
    </row>
    <row r="4">
      <c r="A4" t="s" s="0">
        <v>610</v>
      </c>
      <c r="B4" s="10">
        <f>COUNTIF('功能测试用例'!D3:D200,"P0")</f>
        <v/>
      </c>
      <c r="C4" t="s" s="0">
        <v>611</v>
      </c>
    </row>
    <row r="5">
      <c r="A5" t="s" s="0">
        <v>42</v>
      </c>
      <c r="B5" s="10">
        <f>COUNTIF('功能测试用例'!K3:K200,"待执行")</f>
        <v/>
      </c>
      <c r="C5" t="s" s="0">
        <v>612</v>
      </c>
    </row>
    <row r="6">
      <c r="A6" t="s" s="0">
        <v>613</v>
      </c>
      <c r="B6" s="10">
        <f>COUNTIF('功能测试用例'!K3:K200,"通过")</f>
        <v/>
      </c>
      <c r="C6" t="s" s="0">
        <v>614</v>
      </c>
    </row>
    <row r="7">
      <c r="A7" t="s" s="0">
        <v>615</v>
      </c>
      <c r="B7" s="10">
        <f>COUNTIF('功能测试用例'!K3:K200,"失败")</f>
        <v/>
      </c>
      <c r="C7" t="s" s="0">
        <v>616</v>
      </c>
    </row>
    <row r="8">
      <c r="A8" t="s" s="0">
        <v>617</v>
      </c>
      <c r="B8" s="10">
        <f>COUNTIF('功能测试用例'!K3:K200,"阻塞")</f>
        <v/>
      </c>
      <c r="C8" t="s" s="0">
        <v>618</v>
      </c>
    </row>
    <row r="9">
      <c r="A9" t="s" s="0">
        <v>619</v>
      </c>
      <c r="B9" s="8">
        <f>IF(B3=0,0,(B6+B7+B8)/B3)</f>
        <v/>
      </c>
      <c r="C9" t="s" s="0">
        <v>620</v>
      </c>
    </row>
    <row r="10">
      <c r="A10" t="s" s="0">
        <v>621</v>
      </c>
      <c r="B10" s="8">
        <f>IF((B6+B7)=0,0,B6/(B6+B7))</f>
        <v/>
      </c>
      <c r="C10" t="s" s="0">
        <v>622</v>
      </c>
    </row>
    <row r="11">
      <c r="A11" t="s" s="4">
        <v>623</v>
      </c>
      <c r="B11" t="s" s="0">
        <v>624</v>
      </c>
      <c r="C11" t="s" s="0">
        <v>625</v>
      </c>
    </row>
  </sheetData>
  <pageMargins left="0.3" right="0.3" top="0.5" bottom="0.5" header="0.3" footer="0.3"/>
</worksheet>
</file>